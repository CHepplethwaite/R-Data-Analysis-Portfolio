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ff\Desktop\r-data-analysis-portfolio\data\"/>
    </mc:Choice>
  </mc:AlternateContent>
  <xr:revisionPtr revIDLastSave="0" documentId="8_{1CCA53E2-C91E-4F29-90E4-5380BAD78FAC}" xr6:coauthVersionLast="47" xr6:coauthVersionMax="47" xr10:uidLastSave="{00000000-0000-0000-0000-000000000000}"/>
  <bookViews>
    <workbookView xWindow="2620" yWindow="2620" windowWidth="14400" windowHeight="7270" firstSheet="4" activeTab="5" xr2:uid="{83278DD8-4018-42C8-A93F-633DFCCFE042}"/>
  </bookViews>
  <sheets>
    <sheet name="Table 10" sheetId="1" r:id="rId1"/>
    <sheet name="Table 11" sheetId="2" r:id="rId2"/>
    <sheet name="Figure 20" sheetId="9" r:id="rId3"/>
    <sheet name="Figure 21" sheetId="7" r:id="rId4"/>
    <sheet name="Figure 22" sheetId="8" r:id="rId5"/>
    <sheet name="Figure 23" sheetId="6" r:id="rId6"/>
    <sheet name="Figure 24" sheetId="5" r:id="rId7"/>
    <sheet name="Figure 25" sheetId="4" r:id="rId8"/>
    <sheet name="Figure 26" sheetId="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<sst xmlns="http://schemas.openxmlformats.org/spreadsheetml/2006/main" count="374" uniqueCount="53">
  <si>
    <t>Indicator</t>
  </si>
  <si>
    <t>Business Case</t>
  </si>
  <si>
    <t>Potential for intensification</t>
  </si>
  <si>
    <t>Domestic cons growth</t>
  </si>
  <si>
    <t>Export potential</t>
  </si>
  <si>
    <t>Input costs/output</t>
  </si>
  <si>
    <t>RTA 3-year average</t>
  </si>
  <si>
    <t>Investment support</t>
  </si>
  <si>
    <t>Scalability</t>
  </si>
  <si>
    <t>Agro-ecology support</t>
  </si>
  <si>
    <t>Production volatitily</t>
  </si>
  <si>
    <t>Development Case</t>
  </si>
  <si>
    <t>Poverty alleviation</t>
  </si>
  <si>
    <t>Job creation</t>
  </si>
  <si>
    <t>Diet quality</t>
  </si>
  <si>
    <t>Afs growth</t>
  </si>
  <si>
    <t>Policy support</t>
  </si>
  <si>
    <t xml:space="preserve">Combined </t>
  </si>
  <si>
    <t>Composite score</t>
  </si>
  <si>
    <t>Final Rank</t>
  </si>
  <si>
    <t>Value Chain</t>
  </si>
  <si>
    <t xml:space="preserve">Business </t>
  </si>
  <si>
    <t xml:space="preserve">Development </t>
  </si>
  <si>
    <t>Final Ranking</t>
  </si>
  <si>
    <t>Rice</t>
  </si>
  <si>
    <t>Fisheries</t>
  </si>
  <si>
    <t>Tomato</t>
  </si>
  <si>
    <t>Maize</t>
  </si>
  <si>
    <t>Cocoa</t>
  </si>
  <si>
    <t>Poultry</t>
  </si>
  <si>
    <t>Pineapple</t>
  </si>
  <si>
    <t>Oil palm</t>
  </si>
  <si>
    <t>Cassava</t>
  </si>
  <si>
    <t>Cashew</t>
  </si>
  <si>
    <t>Rubber</t>
  </si>
  <si>
    <t>Yam</t>
  </si>
  <si>
    <t>Sorghum</t>
  </si>
  <si>
    <t>Plantain</t>
  </si>
  <si>
    <t>Soyabean</t>
  </si>
  <si>
    <t>Goat</t>
  </si>
  <si>
    <t>Poverty</t>
  </si>
  <si>
    <t>Diets</t>
  </si>
  <si>
    <t>Growth</t>
  </si>
  <si>
    <t>Jobs</t>
  </si>
  <si>
    <t>SERIES DATA</t>
  </si>
  <si>
    <t>SERIES LABEL</t>
  </si>
  <si>
    <t>Domestic consumption growth</t>
  </si>
  <si>
    <t>Regional export potential</t>
  </si>
  <si>
    <t>Input cost/use ratio</t>
  </si>
  <si>
    <t>RTA</t>
  </si>
  <si>
    <t>Investment Support</t>
  </si>
  <si>
    <t>Natural resource availability</t>
  </si>
  <si>
    <t>Prodution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</si>
</sst>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textRotation="90"/>
    </xf>
    <xf numFmtId="0" fontId="4" fillId="0" borderId="1" xfId="0" applyFont="1" applyBorder="1"/>
    <xf numFmtId="2" fontId="5" fillId="0" borderId="1" xfId="0" applyNumberFormat="1" applyFont="1" applyBorder="1"/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uccedugh-my.sharepoint.com/personal/richard_nkrumah1_stu_ucc_edu_gh/Documents/Documents/ISSER/1ISSER2024/PPVC/GHANA%20PPVC/RANKING/Ranking_masterfile_Ghana-final_no%20hunger%207.04.2025.xlsx" TargetMode="External"/><Relationship Id="rId1" Type="http://schemas.openxmlformats.org/officeDocument/2006/relationships/externalLinkPath" Target="https://stuuccedugh-my.sharepoint.com/personal/richard_nkrumah1_stu_ucc_edu_gh/Documents/Documents/ISSER/1ISSER2024/PPVC/GHANA%20PPVC/RANKING/Ranking_masterfile_Ghana-final_no%20hunger%207.04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SH-LIST"/>
      <sheetName val="Production volatility"/>
      <sheetName val="FARMANALYSIS"/>
      <sheetName val="VC Diagnostics"/>
      <sheetName val="RTA"/>
      <sheetName val="REGIONAL GROWTH"/>
      <sheetName val="PE-OUTPUT"/>
      <sheetName val="CONSUMPTION VALUES"/>
      <sheetName val="PE"/>
      <sheetName val="Portfolio Output_decommissioned"/>
      <sheetName val="Climate"/>
      <sheetName val="AFS transformation"/>
      <sheetName val="Qualitative scans"/>
      <sheetName val="Development Case"/>
      <sheetName val="Business Case"/>
      <sheetName val="Market led"/>
      <sheetName val="Market led_superceded"/>
      <sheetName val="Social inclusiveness"/>
      <sheetName val="Composite score ordered"/>
      <sheetName val="Composite score w.a."/>
      <sheetName val="Final Rank 2"/>
      <sheetName val="Final Rank raw"/>
      <sheetName val="Final Rank"/>
      <sheetName val="Garrett Final Rank"/>
      <sheetName val="Business"/>
      <sheetName val="Development"/>
      <sheetName val="Combined"/>
      <sheetName val="Combined wo n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C2" t="str">
            <v>Rice</v>
          </cell>
          <cell r="D2" t="str">
            <v>Maize</v>
          </cell>
          <cell r="E2" t="str">
            <v>Cocoa</v>
          </cell>
          <cell r="F2" t="str">
            <v>Oil palm</v>
          </cell>
          <cell r="G2" t="str">
            <v>Fisheries</v>
          </cell>
          <cell r="H2" t="str">
            <v>Soyabean</v>
          </cell>
          <cell r="I2" t="str">
            <v>Yam</v>
          </cell>
          <cell r="J2" t="str">
            <v>Pineapple</v>
          </cell>
          <cell r="K2" t="str">
            <v>Cassava</v>
          </cell>
          <cell r="L2" t="str">
            <v>Tomato</v>
          </cell>
          <cell r="M2" t="str">
            <v>Poultry</v>
          </cell>
          <cell r="N2" t="str">
            <v>Rubber</v>
          </cell>
          <cell r="O2" t="str">
            <v>Cashew</v>
          </cell>
          <cell r="P2" t="str">
            <v>Sorghum</v>
          </cell>
          <cell r="Q2" t="str">
            <v>Goat</v>
          </cell>
          <cell r="R2" t="str">
            <v>Plantain</v>
          </cell>
        </row>
        <row r="22">
          <cell r="C22">
            <v>1</v>
          </cell>
          <cell r="D22">
            <v>4</v>
          </cell>
          <cell r="E22">
            <v>5</v>
          </cell>
          <cell r="F22">
            <v>8</v>
          </cell>
          <cell r="G22">
            <v>2</v>
          </cell>
          <cell r="H22">
            <v>15</v>
          </cell>
          <cell r="I22">
            <v>12</v>
          </cell>
          <cell r="J22">
            <v>7</v>
          </cell>
          <cell r="K22">
            <v>9</v>
          </cell>
          <cell r="L22">
            <v>3</v>
          </cell>
          <cell r="M22">
            <v>6</v>
          </cell>
          <cell r="N22">
            <v>11</v>
          </cell>
          <cell r="O22">
            <v>10</v>
          </cell>
          <cell r="P22">
            <v>13</v>
          </cell>
          <cell r="Q22">
            <v>16</v>
          </cell>
          <cell r="R22">
            <v>14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4994-2C57-4FC3-8DF9-E9C7F87194C8}">
  <dimension ref="B2:R23"/>
  <sheetViews>
    <sheetView topLeftCell="L19" zoomScale="82" zoomScaleNormal="82" workbookViewId="0">
      <selection activeCell="R22" sqref="B2:R22"/>
    </sheetView>
  </sheetViews>
  <sheetFormatPr defaultRowHeight="14.5" x14ac:dyDescent="0.35"/>
  <cols>
    <col min="2" max="2" width="25.1796875" bestFit="1" customWidth="1"/>
  </cols>
  <sheetData>
    <row r="2" spans="2:18" ht="55.5" x14ac:dyDescent="0.35">
      <c r="B2" s="8" t="s">
        <v>0</v>
      </c>
      <c r="C2" s="9" t="str">
        <f>_xlfn.XLOOKUP(C$22,'[1]Composite score w.a.'!$C$22:$R$22,'[1]Composite score w.a.'!$C$2:$R$2)</f>
        <v>Rice</v>
      </c>
      <c r="D2" s="9" t="str">
        <f>_xlfn.XLOOKUP(D$22,'[1]Composite score w.a.'!$C$22:$R$22,'[1]Composite score w.a.'!$C$2:$R$2)</f>
        <v>Fisheries</v>
      </c>
      <c r="E2" s="9" t="str">
        <f>_xlfn.XLOOKUP(E$22,'[1]Composite score w.a.'!$C$22:$R$22,'[1]Composite score w.a.'!$C$2:$R$2)</f>
        <v>Tomato</v>
      </c>
      <c r="F2" s="9" t="str">
        <f>_xlfn.XLOOKUP(F$22,'[1]Composite score w.a.'!$C$22:$R$22,'[1]Composite score w.a.'!$C$2:$R$2)</f>
        <v>Maize</v>
      </c>
      <c r="G2" s="9" t="str">
        <f>_xlfn.XLOOKUP(G$22,'[1]Composite score w.a.'!$C$22:$R$22,'[1]Composite score w.a.'!$C$2:$R$2)</f>
        <v>Cocoa</v>
      </c>
      <c r="H2" s="9" t="str">
        <f>_xlfn.XLOOKUP(H$22,'[1]Composite score w.a.'!$C$22:$R$22,'[1]Composite score w.a.'!$C$2:$R$2)</f>
        <v>Poultry</v>
      </c>
      <c r="I2" s="9" t="str">
        <f>_xlfn.XLOOKUP(I$22,'[1]Composite score w.a.'!$C$22:$R$22,'[1]Composite score w.a.'!$C$2:$R$2)</f>
        <v>Pineapple</v>
      </c>
      <c r="J2" s="9" t="str">
        <f>_xlfn.XLOOKUP(J$22,'[1]Composite score w.a.'!$C$22:$R$22,'[1]Composite score w.a.'!$C$2:$R$2)</f>
        <v>Oil palm</v>
      </c>
      <c r="K2" s="9" t="str">
        <f>_xlfn.XLOOKUP(K$22,'[1]Composite score w.a.'!$C$22:$R$22,'[1]Composite score w.a.'!$C$2:$R$2)</f>
        <v>Cassava</v>
      </c>
      <c r="L2" s="9" t="str">
        <f>_xlfn.XLOOKUP(L$22,'[1]Composite score w.a.'!$C$22:$R$22,'[1]Composite score w.a.'!$C$2:$R$2)</f>
        <v>Cashew</v>
      </c>
      <c r="M2" s="9" t="str">
        <f>_xlfn.XLOOKUP(M$22,'[1]Composite score w.a.'!$C$22:$R$22,'[1]Composite score w.a.'!$C$2:$R$2)</f>
        <v>Rubber</v>
      </c>
      <c r="N2" s="9" t="str">
        <f>_xlfn.XLOOKUP(N$22,'[1]Composite score w.a.'!$C$22:$R$22,'[1]Composite score w.a.'!$C$2:$R$2)</f>
        <v>Yam</v>
      </c>
      <c r="O2" s="9" t="str">
        <f>_xlfn.XLOOKUP(O$22,'[1]Composite score w.a.'!$C$22:$R$22,'[1]Composite score w.a.'!$C$2:$R$2)</f>
        <v>Sorghum</v>
      </c>
      <c r="P2" s="9" t="str">
        <f>_xlfn.XLOOKUP(P$22,'[1]Composite score w.a.'!$C$22:$R$22,'[1]Composite score w.a.'!$C$2:$R$2)</f>
        <v>Plantain</v>
      </c>
      <c r="Q2" s="9" t="str">
        <f>_xlfn.XLOOKUP(Q$22,'[1]Composite score w.a.'!$C$22:$R$22,'[1]Composite score w.a.'!$C$2:$R$2)</f>
        <v>Soyabean</v>
      </c>
      <c r="R2" s="9" t="str">
        <f>_xlfn.XLOOKUP(R$22,'[1]Composite score w.a.'!$C$22:$R$22,'[1]Composite score w.a.'!$C$2:$R$2)</f>
        <v>Goat</v>
      </c>
    </row>
    <row r="3" spans="2:18" ht="15.5" x14ac:dyDescent="0.35"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2:18" ht="15.5" x14ac:dyDescent="0.35">
      <c r="B4" s="12" t="s">
        <v>2</v>
      </c>
      <c r="C4" s="13">
        <v>1.0816747225361101</v>
      </c>
      <c r="D4" s="13">
        <v>0.84406862329580312</v>
      </c>
      <c r="E4" s="13">
        <v>1.0778173198578669</v>
      </c>
      <c r="F4" s="13">
        <v>1.08434082626562</v>
      </c>
      <c r="G4" s="13">
        <v>1.0853838747277869</v>
      </c>
      <c r="H4" s="13">
        <v>1.1000000000000001</v>
      </c>
      <c r="I4" s="13">
        <v>1.0768312156422006</v>
      </c>
      <c r="J4" s="13">
        <v>0.94631149403533532</v>
      </c>
      <c r="K4" s="13">
        <v>1.0400774007032692</v>
      </c>
      <c r="L4" s="13">
        <v>1.0735270729181541</v>
      </c>
      <c r="M4" s="13">
        <v>1.0934659146045751</v>
      </c>
      <c r="N4" s="13">
        <v>1.0835327808776241</v>
      </c>
      <c r="O4" s="13">
        <v>1.0845501513158105</v>
      </c>
      <c r="P4" s="13">
        <v>1.0742496059271955</v>
      </c>
      <c r="Q4" s="13">
        <v>1.0837282340387326</v>
      </c>
      <c r="R4" s="13">
        <v>0.1</v>
      </c>
    </row>
    <row r="5" spans="2:18" ht="15.5" x14ac:dyDescent="0.35">
      <c r="B5" s="12" t="s">
        <v>3</v>
      </c>
      <c r="C5" s="13">
        <v>0.45062825711966026</v>
      </c>
      <c r="D5" s="13">
        <v>0.82393690725013802</v>
      </c>
      <c r="E5" s="13">
        <v>1.0242486525167331</v>
      </c>
      <c r="F5" s="13">
        <v>0.6679631074910537</v>
      </c>
      <c r="G5" s="13">
        <v>0.83742584637133965</v>
      </c>
      <c r="H5" s="13">
        <v>1.1000000000000001</v>
      </c>
      <c r="I5" s="13">
        <v>0.51053308397707187</v>
      </c>
      <c r="J5" s="13">
        <v>0.27470557532840278</v>
      </c>
      <c r="K5" s="13">
        <v>0.52907991216227945</v>
      </c>
      <c r="L5" s="13">
        <v>0.92727629738864714</v>
      </c>
      <c r="M5" s="13">
        <v>0.1</v>
      </c>
      <c r="N5" s="13">
        <v>0.78078678276467584</v>
      </c>
      <c r="O5" s="13">
        <v>0.4036619507976702</v>
      </c>
      <c r="P5" s="13">
        <v>0.51507665930915558</v>
      </c>
      <c r="Q5" s="13">
        <v>0.27568520076029157</v>
      </c>
      <c r="R5" s="13">
        <v>0.17780327385922304</v>
      </c>
    </row>
    <row r="6" spans="2:18" ht="15.5" x14ac:dyDescent="0.35">
      <c r="B6" s="12" t="s">
        <v>4</v>
      </c>
      <c r="C6" s="13">
        <v>0.28394589424614775</v>
      </c>
      <c r="D6" s="13">
        <v>0.21756186102695757</v>
      </c>
      <c r="E6" s="13">
        <v>0.45640055476551766</v>
      </c>
      <c r="F6" s="13">
        <v>0.1</v>
      </c>
      <c r="G6" s="13">
        <v>0.30407252145669639</v>
      </c>
      <c r="H6" s="13">
        <v>0.36039306107281655</v>
      </c>
      <c r="I6" s="13">
        <v>0.32528491437905821</v>
      </c>
      <c r="J6" s="13">
        <v>0.42853018541103349</v>
      </c>
      <c r="K6" s="13">
        <v>0.32916182161091145</v>
      </c>
      <c r="L6" s="13">
        <v>0.16911054421610988</v>
      </c>
      <c r="M6" s="13">
        <v>0.26400708352443025</v>
      </c>
      <c r="N6" s="13">
        <v>0.34728003170884858</v>
      </c>
      <c r="O6" s="13">
        <v>0.14966866628300712</v>
      </c>
      <c r="P6" s="13">
        <v>0.35925942188873328</v>
      </c>
      <c r="Q6" s="13">
        <v>0.36734696309460346</v>
      </c>
      <c r="R6" s="13">
        <v>1.1000000000000001</v>
      </c>
    </row>
    <row r="7" spans="2:18" ht="15.5" x14ac:dyDescent="0.35">
      <c r="B7" s="12" t="s">
        <v>5</v>
      </c>
      <c r="C7" s="13">
        <v>1.0428415189655396</v>
      </c>
      <c r="D7" s="13">
        <v>1.0714195022602289</v>
      </c>
      <c r="E7" s="13">
        <v>1.0097381137599639</v>
      </c>
      <c r="F7" s="13">
        <v>0.93902452024506766</v>
      </c>
      <c r="G7" s="13">
        <v>1.0746103985499014</v>
      </c>
      <c r="H7" s="13">
        <v>1.0405294391658442</v>
      </c>
      <c r="I7" s="13">
        <v>1.1000000000000001</v>
      </c>
      <c r="J7" s="13">
        <v>0.99090306640696635</v>
      </c>
      <c r="K7" s="13">
        <v>1.0389553032168339</v>
      </c>
      <c r="L7" s="13">
        <v>0.74414726691775068</v>
      </c>
      <c r="M7" s="13">
        <v>1.0850804537422913</v>
      </c>
      <c r="N7" s="13">
        <v>1.015185355150992</v>
      </c>
      <c r="O7" s="13">
        <v>0.89935857570484545</v>
      </c>
      <c r="P7" s="13">
        <v>1.0992678151663484</v>
      </c>
      <c r="Q7" s="13">
        <v>0.98614667091644159</v>
      </c>
      <c r="R7" s="13">
        <v>0.1</v>
      </c>
    </row>
    <row r="8" spans="2:18" ht="15.5" x14ac:dyDescent="0.35">
      <c r="B8" s="12" t="s">
        <v>6</v>
      </c>
      <c r="C8" s="13">
        <v>1.1000000000000001</v>
      </c>
      <c r="D8" s="13">
        <v>0.42745529743137989</v>
      </c>
      <c r="E8" s="13">
        <v>0.91092977117959961</v>
      </c>
      <c r="F8" s="13">
        <v>0.73683433787341346</v>
      </c>
      <c r="G8" s="13">
        <v>0.16631558097776977</v>
      </c>
      <c r="H8" s="13">
        <v>0.2278700318631037</v>
      </c>
      <c r="I8" s="13">
        <v>0.70546879385822048</v>
      </c>
      <c r="J8" s="13">
        <v>1.0108431445891743</v>
      </c>
      <c r="K8" s="13">
        <v>0.38711076952801238</v>
      </c>
      <c r="L8" s="13">
        <v>0.38711076952801238</v>
      </c>
      <c r="M8" s="13">
        <v>0.76820834521224013</v>
      </c>
      <c r="N8" s="13">
        <v>0.2835034807439763</v>
      </c>
      <c r="O8" s="13">
        <v>0.33081023660410935</v>
      </c>
      <c r="P8" s="13">
        <v>0.38819041064735704</v>
      </c>
      <c r="Q8" s="13">
        <v>0.52515317010790075</v>
      </c>
      <c r="R8" s="13">
        <v>0.1</v>
      </c>
    </row>
    <row r="9" spans="2:18" ht="15.5" x14ac:dyDescent="0.35">
      <c r="B9" s="12" t="s">
        <v>7</v>
      </c>
      <c r="C9" s="13">
        <v>0.96363636363636351</v>
      </c>
      <c r="D9" s="13">
        <v>0.80454545454545434</v>
      </c>
      <c r="E9" s="13">
        <v>0.31590909090909108</v>
      </c>
      <c r="F9" s="13">
        <v>1.1000000000000001</v>
      </c>
      <c r="G9" s="13">
        <v>1.009090909090909</v>
      </c>
      <c r="H9" s="13">
        <v>0.98636363636363622</v>
      </c>
      <c r="I9" s="13">
        <v>0.73636363636363611</v>
      </c>
      <c r="J9" s="13">
        <v>0.55454545454545467</v>
      </c>
      <c r="K9" s="13">
        <v>0.91818181818181799</v>
      </c>
      <c r="L9" s="13">
        <v>0.58863636363636351</v>
      </c>
      <c r="M9" s="13">
        <v>0.45227272727272705</v>
      </c>
      <c r="N9" s="13">
        <v>0.1</v>
      </c>
      <c r="O9" s="13">
        <v>0.31590909090909108</v>
      </c>
      <c r="P9" s="13">
        <v>0.25909090909090893</v>
      </c>
      <c r="Q9" s="13">
        <v>0.65681818181818175</v>
      </c>
      <c r="R9" s="13">
        <v>0.38409090909090926</v>
      </c>
    </row>
    <row r="10" spans="2:18" ht="15.5" x14ac:dyDescent="0.35">
      <c r="B10" s="12" t="s">
        <v>8</v>
      </c>
      <c r="C10" s="13">
        <v>0.89797979797979777</v>
      </c>
      <c r="D10" s="13">
        <v>0.75656565656565622</v>
      </c>
      <c r="E10" s="13">
        <v>0.1</v>
      </c>
      <c r="F10" s="13">
        <v>0.99898989898989887</v>
      </c>
      <c r="G10" s="13">
        <v>1.1000000000000001</v>
      </c>
      <c r="H10" s="13">
        <v>0.84747474747474749</v>
      </c>
      <c r="I10" s="13">
        <v>0.51414141414141412</v>
      </c>
      <c r="J10" s="13">
        <v>0.80707070707070705</v>
      </c>
      <c r="K10" s="13">
        <v>0.55454545454545456</v>
      </c>
      <c r="L10" s="13">
        <v>0.6656565656565655</v>
      </c>
      <c r="M10" s="13">
        <v>0.73636363636363644</v>
      </c>
      <c r="N10" s="13">
        <v>0.48383838383838396</v>
      </c>
      <c r="O10" s="13">
        <v>0.42323232323232329</v>
      </c>
      <c r="P10" s="13">
        <v>0.1</v>
      </c>
      <c r="Q10" s="13">
        <v>0.50404040404040373</v>
      </c>
      <c r="R10" s="13">
        <v>0.14040404040404023</v>
      </c>
    </row>
    <row r="11" spans="2:18" ht="15.5" x14ac:dyDescent="0.35">
      <c r="B11" s="12" t="s">
        <v>9</v>
      </c>
      <c r="C11" s="13">
        <v>0.85675675675675655</v>
      </c>
      <c r="D11" s="13">
        <v>0.85675675675675655</v>
      </c>
      <c r="E11" s="13">
        <v>0.80270270270270305</v>
      </c>
      <c r="F11" s="13">
        <v>1.0054054054054056</v>
      </c>
      <c r="G11" s="13">
        <v>0.62702702702702684</v>
      </c>
      <c r="H11" s="13">
        <v>1.1000000000000001</v>
      </c>
      <c r="I11" s="13">
        <v>0.43783783783783814</v>
      </c>
      <c r="J11" s="13">
        <v>0.39729729729729724</v>
      </c>
      <c r="K11" s="13">
        <v>1.0189189189189189</v>
      </c>
      <c r="L11" s="13">
        <v>0.78918918918918923</v>
      </c>
      <c r="M11" s="13">
        <v>0.27567567567567586</v>
      </c>
      <c r="N11" s="13">
        <v>0.73513513513513506</v>
      </c>
      <c r="O11" s="13">
        <v>0.1</v>
      </c>
      <c r="P11" s="13">
        <v>0.70810810810810798</v>
      </c>
      <c r="Q11" s="13">
        <v>0.356756756756757</v>
      </c>
      <c r="R11" s="13">
        <v>0.80270270270270305</v>
      </c>
    </row>
    <row r="12" spans="2:18" ht="15.5" x14ac:dyDescent="0.35">
      <c r="B12" s="12" t="s">
        <v>10</v>
      </c>
      <c r="C12" s="13">
        <v>0.26428030215145182</v>
      </c>
      <c r="D12" s="13">
        <v>0.63199830153930348</v>
      </c>
      <c r="E12" s="13">
        <v>0.49966708388258407</v>
      </c>
      <c r="F12" s="13">
        <v>0.31191430020209376</v>
      </c>
      <c r="G12" s="13">
        <v>0.20805590929781395</v>
      </c>
      <c r="H12" s="13">
        <v>1.1000000000000001</v>
      </c>
      <c r="I12" s="13">
        <v>0.13978262169353486</v>
      </c>
      <c r="J12" s="13">
        <v>0.1</v>
      </c>
      <c r="K12" s="13">
        <v>0.38900588188244223</v>
      </c>
      <c r="L12" s="13">
        <v>0.70461935763208638</v>
      </c>
      <c r="M12" s="13">
        <v>1.1000000000000001</v>
      </c>
      <c r="N12" s="13">
        <v>1.1000000000000001</v>
      </c>
      <c r="O12" s="13">
        <v>1.1000000000000001</v>
      </c>
      <c r="P12" s="13">
        <v>0.39181956713849408</v>
      </c>
      <c r="Q12" s="13">
        <v>0.2503594708603033</v>
      </c>
      <c r="R12" s="13">
        <v>0.43843943210287784</v>
      </c>
    </row>
    <row r="13" spans="2:18" ht="15.5" x14ac:dyDescent="0.35">
      <c r="B13" s="10" t="s">
        <v>11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2:18" ht="15.5" x14ac:dyDescent="0.35">
      <c r="B14" s="12" t="s">
        <v>12</v>
      </c>
      <c r="C14" s="13">
        <v>0.51749047015235528</v>
      </c>
      <c r="D14" s="13">
        <v>0.4076596558741572</v>
      </c>
      <c r="E14" s="13">
        <v>1.1000000000000001</v>
      </c>
      <c r="F14" s="13">
        <v>0.39170583271269888</v>
      </c>
      <c r="G14" s="13">
        <v>0.65978001809642461</v>
      </c>
      <c r="H14" s="13">
        <v>0.24800646831163634</v>
      </c>
      <c r="I14" s="13">
        <v>0.91494455738638014</v>
      </c>
      <c r="J14" s="13">
        <v>0.21887058407333573</v>
      </c>
      <c r="K14" s="13">
        <v>0.4710050536901168</v>
      </c>
      <c r="L14" s="13">
        <v>0.72837271144236648</v>
      </c>
      <c r="M14" s="13">
        <v>0.66634555252544458</v>
      </c>
      <c r="N14" s="13">
        <v>0.50120933148092695</v>
      </c>
      <c r="O14" s="13">
        <v>0.5163444717583574</v>
      </c>
      <c r="P14" s="13">
        <v>0.48728082965711239</v>
      </c>
      <c r="Q14" s="13">
        <v>0.40765718918710059</v>
      </c>
      <c r="R14" s="13">
        <v>0.1</v>
      </c>
    </row>
    <row r="15" spans="2:18" ht="15.5" x14ac:dyDescent="0.35">
      <c r="B15" s="12" t="s">
        <v>13</v>
      </c>
      <c r="C15" s="13">
        <v>0.5256936456681498</v>
      </c>
      <c r="D15" s="13">
        <v>1.1000000000000001</v>
      </c>
      <c r="E15" s="13">
        <v>0.32444375866905606</v>
      </c>
      <c r="F15" s="13">
        <v>0.34522527641316297</v>
      </c>
      <c r="G15" s="13">
        <v>0.47384772814866249</v>
      </c>
      <c r="H15" s="13">
        <v>0.32830683654177062</v>
      </c>
      <c r="I15" s="13">
        <v>0.30830526595929386</v>
      </c>
      <c r="J15" s="13">
        <v>0.29792064489951564</v>
      </c>
      <c r="K15" s="13">
        <v>0.36549113499620922</v>
      </c>
      <c r="L15" s="13">
        <v>0.16208504029134524</v>
      </c>
      <c r="M15" s="13">
        <v>0.22761912540778914</v>
      </c>
      <c r="N15" s="13">
        <v>0.36612657386475267</v>
      </c>
      <c r="O15" s="13">
        <v>0.1</v>
      </c>
      <c r="P15" s="13">
        <v>0.31493202425024835</v>
      </c>
      <c r="Q15" s="13">
        <v>0.13497246947255315</v>
      </c>
      <c r="R15" s="13">
        <v>0.44527636634569545</v>
      </c>
    </row>
    <row r="16" spans="2:18" ht="15.5" x14ac:dyDescent="0.35">
      <c r="B16" s="12" t="s">
        <v>14</v>
      </c>
      <c r="C16" s="13">
        <v>0.11585260695225788</v>
      </c>
      <c r="D16" s="13">
        <v>0.18179497722330887</v>
      </c>
      <c r="E16" s="13">
        <v>0.71199107426963226</v>
      </c>
      <c r="F16" s="13">
        <v>0.13370727135763641</v>
      </c>
      <c r="G16" s="13">
        <v>0.1168718289230887</v>
      </c>
      <c r="H16" s="13">
        <v>0.15220074325303481</v>
      </c>
      <c r="I16" s="13">
        <v>1.1000000000000001</v>
      </c>
      <c r="J16" s="13">
        <v>0.19896721088629946</v>
      </c>
      <c r="K16" s="13">
        <v>0.11226486585352816</v>
      </c>
      <c r="L16" s="13">
        <v>0.1</v>
      </c>
      <c r="M16" s="13">
        <v>0.11495330005203511</v>
      </c>
      <c r="N16" s="13">
        <v>0.11526147038752291</v>
      </c>
      <c r="O16" s="13">
        <v>0.13262522594924089</v>
      </c>
      <c r="P16" s="13">
        <v>0.11069492404499195</v>
      </c>
      <c r="Q16" s="13">
        <v>0.11015643491879248</v>
      </c>
      <c r="R16" s="13">
        <v>0.15904675935158188</v>
      </c>
    </row>
    <row r="17" spans="2:18" ht="15.5" x14ac:dyDescent="0.35">
      <c r="B17" s="12" t="s">
        <v>15</v>
      </c>
      <c r="C17" s="13">
        <v>1.1000000000000001</v>
      </c>
      <c r="D17" s="13">
        <v>0.6700416857904492</v>
      </c>
      <c r="E17" s="13">
        <v>0.41827185365258979</v>
      </c>
      <c r="F17" s="13">
        <v>0.76094616913973356</v>
      </c>
      <c r="G17" s="13">
        <v>0.28948636311588732</v>
      </c>
      <c r="H17" s="13">
        <v>0.41254770963372411</v>
      </c>
      <c r="I17" s="13">
        <v>0.44344072376530419</v>
      </c>
      <c r="J17" s="13">
        <v>0.70447878586749457</v>
      </c>
      <c r="K17" s="13">
        <v>0.35449961519862816</v>
      </c>
      <c r="L17" s="13">
        <v>0.1</v>
      </c>
      <c r="M17" s="13">
        <v>0.31142380336268782</v>
      </c>
      <c r="N17" s="13">
        <v>0.38882879031226936</v>
      </c>
      <c r="O17" s="13">
        <v>0.51857950994803859</v>
      </c>
      <c r="P17" s="13">
        <v>0.34097176792741313</v>
      </c>
      <c r="Q17" s="13">
        <v>0.23123753381550316</v>
      </c>
      <c r="R17" s="13">
        <v>0.4904785283237727</v>
      </c>
    </row>
    <row r="18" spans="2:18" ht="15.5" x14ac:dyDescent="0.35">
      <c r="B18" s="12" t="s">
        <v>16</v>
      </c>
      <c r="C18" s="13">
        <v>0.9</v>
      </c>
      <c r="D18" s="13">
        <v>0.80526315789473701</v>
      </c>
      <c r="E18" s="13">
        <v>0.55263157894736803</v>
      </c>
      <c r="F18" s="13">
        <v>0.98421052631578954</v>
      </c>
      <c r="G18" s="13">
        <v>1.1000000000000001</v>
      </c>
      <c r="H18" s="13">
        <v>0.88947368421052653</v>
      </c>
      <c r="I18" s="13">
        <v>0.1</v>
      </c>
      <c r="J18" s="13">
        <v>0.76315789473684226</v>
      </c>
      <c r="K18" s="13">
        <v>0.50000000000000011</v>
      </c>
      <c r="L18" s="13">
        <v>0.75263157894736832</v>
      </c>
      <c r="M18" s="13">
        <v>0.5736842105263158</v>
      </c>
      <c r="N18" s="13">
        <v>0.47894736842105279</v>
      </c>
      <c r="O18" s="13">
        <v>0.47894736842105279</v>
      </c>
      <c r="P18" s="13">
        <v>0.2052631578947367</v>
      </c>
      <c r="Q18" s="13">
        <v>0.47894736842105279</v>
      </c>
      <c r="R18" s="13">
        <v>0.4052631578947371</v>
      </c>
    </row>
    <row r="19" spans="2:18" ht="15.5" x14ac:dyDescent="0.35">
      <c r="B19" s="10" t="s">
        <v>17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2:18" ht="15.5" x14ac:dyDescent="0.35">
      <c r="B20" s="12" t="s">
        <v>18</v>
      </c>
      <c r="C20" s="13">
        <v>0.99652561376591653</v>
      </c>
      <c r="D20" s="13">
        <v>0.94197141755735214</v>
      </c>
      <c r="E20" s="13">
        <v>0.89982701297992307</v>
      </c>
      <c r="F20" s="13">
        <v>0.84607685286201906</v>
      </c>
      <c r="G20" s="13">
        <v>0.79387551895021546</v>
      </c>
      <c r="H20" s="13">
        <v>0.78525050337128788</v>
      </c>
      <c r="I20" s="13">
        <v>0.76100182119562465</v>
      </c>
      <c r="J20" s="13">
        <v>0.56739887564877178</v>
      </c>
      <c r="K20" s="13">
        <v>0.53878631762479057</v>
      </c>
      <c r="L20" s="13">
        <v>0.53260525176664375</v>
      </c>
      <c r="M20" s="13">
        <v>0.52746696205405996</v>
      </c>
      <c r="N20" s="13">
        <v>0.52134864959046545</v>
      </c>
      <c r="O20" s="13">
        <v>0.36837745530485189</v>
      </c>
      <c r="P20" s="13">
        <v>0.2983582061741844</v>
      </c>
      <c r="Q20" s="13">
        <v>0.28394828376637954</v>
      </c>
      <c r="R20" s="13">
        <v>0.16579402038730262</v>
      </c>
    </row>
    <row r="21" spans="2:18" ht="15.5" x14ac:dyDescent="0.35">
      <c r="B21" s="12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.5" x14ac:dyDescent="0.35">
      <c r="B22" s="15" t="s">
        <v>19</v>
      </c>
      <c r="C22" s="16">
        <v>1</v>
      </c>
      <c r="D22" s="16">
        <v>2</v>
      </c>
      <c r="E22" s="16">
        <v>3</v>
      </c>
      <c r="F22" s="16">
        <v>4</v>
      </c>
      <c r="G22" s="16">
        <v>5</v>
      </c>
      <c r="H22" s="16">
        <v>6</v>
      </c>
      <c r="I22" s="16">
        <v>7</v>
      </c>
      <c r="J22" s="16">
        <v>8</v>
      </c>
      <c r="K22" s="16">
        <v>9</v>
      </c>
      <c r="L22" s="16">
        <v>10</v>
      </c>
      <c r="M22" s="16">
        <v>11</v>
      </c>
      <c r="N22" s="16">
        <v>12</v>
      </c>
      <c r="O22" s="16">
        <v>13</v>
      </c>
      <c r="P22" s="16">
        <v>14</v>
      </c>
      <c r="Q22" s="16">
        <v>15</v>
      </c>
      <c r="R22" s="16">
        <v>16</v>
      </c>
    </row>
    <row r="23" spans="2:18" ht="16" x14ac:dyDescent="0.4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31E8-B5E9-43CC-9F2D-9424C312C569}">
  <dimension ref="B2:E18"/>
  <sheetViews>
    <sheetView topLeftCell="B1" workbookViewId="0">
      <selection activeCell="B2" sqref="B2:E18"/>
    </sheetView>
  </sheetViews>
  <sheetFormatPr defaultRowHeight="14.5" x14ac:dyDescent="0.35"/>
  <cols>
    <col min="2" max="5" width="20.81640625" customWidth="1"/>
  </cols>
  <sheetData>
    <row r="2" spans="2:5" ht="15.5" x14ac:dyDescent="0.35">
      <c r="B2" s="4" t="s">
        <v>20</v>
      </c>
      <c r="C2" s="5" t="s">
        <v>21</v>
      </c>
      <c r="D2" s="5" t="s">
        <v>22</v>
      </c>
      <c r="E2" s="5" t="s">
        <v>23</v>
      </c>
    </row>
    <row r="3" spans="2:5" x14ac:dyDescent="0.35">
      <c r="B3" s="6" t="s">
        <v>24</v>
      </c>
      <c r="C3" s="7">
        <v>3</v>
      </c>
      <c r="D3" s="7">
        <v>2</v>
      </c>
      <c r="E3" s="7">
        <v>1</v>
      </c>
    </row>
    <row r="4" spans="2:5" x14ac:dyDescent="0.35">
      <c r="B4" s="6" t="s">
        <v>25</v>
      </c>
      <c r="C4" s="7">
        <v>4</v>
      </c>
      <c r="D4" s="7">
        <v>1</v>
      </c>
      <c r="E4" s="7">
        <v>2</v>
      </c>
    </row>
    <row r="5" spans="2:5" x14ac:dyDescent="0.35">
      <c r="B5" s="6" t="s">
        <v>26</v>
      </c>
      <c r="C5" s="7">
        <v>7</v>
      </c>
      <c r="D5" s="7">
        <v>3</v>
      </c>
      <c r="E5" s="7">
        <v>3</v>
      </c>
    </row>
    <row r="6" spans="2:5" x14ac:dyDescent="0.35">
      <c r="B6" s="6" t="s">
        <v>27</v>
      </c>
      <c r="C6" s="7">
        <v>2</v>
      </c>
      <c r="D6" s="7">
        <v>6</v>
      </c>
      <c r="E6" s="7">
        <v>4</v>
      </c>
    </row>
    <row r="7" spans="2:5" x14ac:dyDescent="0.35">
      <c r="B7" s="6" t="s">
        <v>28</v>
      </c>
      <c r="C7" s="7">
        <v>5</v>
      </c>
      <c r="D7" s="7">
        <v>5</v>
      </c>
      <c r="E7" s="7">
        <v>5</v>
      </c>
    </row>
    <row r="8" spans="2:5" x14ac:dyDescent="0.35">
      <c r="B8" s="6" t="s">
        <v>29</v>
      </c>
      <c r="C8" s="7">
        <v>1</v>
      </c>
      <c r="D8" s="7">
        <v>8</v>
      </c>
      <c r="E8" s="7">
        <v>6</v>
      </c>
    </row>
    <row r="9" spans="2:5" x14ac:dyDescent="0.35">
      <c r="B9" s="6" t="s">
        <v>30</v>
      </c>
      <c r="C9" s="7">
        <v>11</v>
      </c>
      <c r="D9" s="7">
        <v>4</v>
      </c>
      <c r="E9" s="7">
        <v>7</v>
      </c>
    </row>
    <row r="10" spans="2:5" x14ac:dyDescent="0.35">
      <c r="B10" s="6" t="s">
        <v>31</v>
      </c>
      <c r="C10" s="7">
        <v>12</v>
      </c>
      <c r="D10" s="7">
        <v>7</v>
      </c>
      <c r="E10" s="7">
        <v>8</v>
      </c>
    </row>
    <row r="11" spans="2:5" x14ac:dyDescent="0.35">
      <c r="B11" s="6" t="s">
        <v>32</v>
      </c>
      <c r="C11" s="7">
        <v>6</v>
      </c>
      <c r="D11" s="7">
        <v>12</v>
      </c>
      <c r="E11" s="7">
        <v>9</v>
      </c>
    </row>
    <row r="12" spans="2:5" x14ac:dyDescent="0.35">
      <c r="B12" s="6" t="s">
        <v>33</v>
      </c>
      <c r="C12" s="7">
        <v>8</v>
      </c>
      <c r="D12" s="7">
        <v>11</v>
      </c>
      <c r="E12" s="7">
        <v>10</v>
      </c>
    </row>
    <row r="13" spans="2:5" x14ac:dyDescent="0.35">
      <c r="B13" s="6" t="s">
        <v>34</v>
      </c>
      <c r="C13" s="7">
        <v>10</v>
      </c>
      <c r="D13" s="7">
        <v>9</v>
      </c>
      <c r="E13" s="7">
        <v>11</v>
      </c>
    </row>
    <row r="14" spans="2:5" x14ac:dyDescent="0.35">
      <c r="B14" s="6" t="s">
        <v>35</v>
      </c>
      <c r="C14" s="7">
        <v>9</v>
      </c>
      <c r="D14" s="7">
        <v>10</v>
      </c>
      <c r="E14" s="7">
        <v>12</v>
      </c>
    </row>
    <row r="15" spans="2:5" x14ac:dyDescent="0.35">
      <c r="B15" s="6" t="s">
        <v>36</v>
      </c>
      <c r="C15" s="7">
        <v>15</v>
      </c>
      <c r="D15" s="7">
        <v>13</v>
      </c>
      <c r="E15" s="7">
        <v>13</v>
      </c>
    </row>
    <row r="16" spans="2:5" x14ac:dyDescent="0.35">
      <c r="B16" s="6" t="s">
        <v>37</v>
      </c>
      <c r="C16" s="7">
        <v>14</v>
      </c>
      <c r="D16" s="7">
        <v>15</v>
      </c>
      <c r="E16" s="7">
        <v>14</v>
      </c>
    </row>
    <row r="17" spans="2:5" x14ac:dyDescent="0.35">
      <c r="B17" s="6" t="s">
        <v>38</v>
      </c>
      <c r="C17" s="7">
        <v>13</v>
      </c>
      <c r="D17" s="7">
        <v>16</v>
      </c>
      <c r="E17" s="7">
        <v>15</v>
      </c>
    </row>
    <row r="18" spans="2:5" x14ac:dyDescent="0.35">
      <c r="B18" s="6" t="s">
        <v>39</v>
      </c>
      <c r="C18" s="7">
        <v>16</v>
      </c>
      <c r="D18" s="7">
        <v>14</v>
      </c>
      <c r="E18" s="7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1764-DF6B-477E-B4CD-43A69557BB3D}">
  <dimension ref="B2:G18"/>
  <sheetViews>
    <sheetView workbookViewId="0">
      <selection activeCell="B6" sqref="B6"/>
    </sheetView>
  </sheetViews>
  <sheetFormatPr defaultRowHeight="14.5" x14ac:dyDescent="0.35"/>
  <cols>
    <col min="2" max="2" width="22.6328125" bestFit="1" customWidth="1"/>
    <col min="4" max="4" width="25.6328125" bestFit="1" customWidth="1"/>
    <col min="6" max="6" width="20.81640625" bestFit="1" customWidth="1"/>
  </cols>
  <sheetData>
    <row r="2" spans="2:7" x14ac:dyDescent="0.35">
      <c r="B2" s="1" t="s">
        <v>2</v>
      </c>
      <c r="C2" s="1"/>
      <c r="D2" s="1" t="s">
        <v>46</v>
      </c>
      <c r="E2" s="1"/>
      <c r="F2" s="1" t="s">
        <v>47</v>
      </c>
      <c r="G2" s="1"/>
    </row>
    <row r="3" spans="2:7" x14ac:dyDescent="0.35">
      <c r="B3" s="1" t="s">
        <v>39</v>
      </c>
      <c r="C3" s="2">
        <v>0.1</v>
      </c>
      <c r="D3" s="1" t="s">
        <v>34</v>
      </c>
      <c r="E3" s="2">
        <v>0.1</v>
      </c>
      <c r="F3" s="1" t="s">
        <v>27</v>
      </c>
      <c r="G3" s="2">
        <v>0.1</v>
      </c>
    </row>
    <row r="4" spans="2:7" x14ac:dyDescent="0.35">
      <c r="B4" s="1" t="s">
        <v>25</v>
      </c>
      <c r="C4" s="2">
        <v>0.84406862329580312</v>
      </c>
      <c r="D4" s="1" t="s">
        <v>39</v>
      </c>
      <c r="E4" s="2">
        <v>0.17780327385922304</v>
      </c>
      <c r="F4" s="1" t="s">
        <v>36</v>
      </c>
      <c r="G4" s="2">
        <v>0.14966866628300712</v>
      </c>
    </row>
    <row r="5" spans="2:7" x14ac:dyDescent="0.35">
      <c r="B5" s="1" t="s">
        <v>31</v>
      </c>
      <c r="C5" s="2">
        <v>0.94631149403533532</v>
      </c>
      <c r="D5" s="1" t="s">
        <v>31</v>
      </c>
      <c r="E5" s="2">
        <v>0.27470557532840278</v>
      </c>
      <c r="F5" s="1" t="s">
        <v>33</v>
      </c>
      <c r="G5" s="2">
        <v>0.16911054421610991</v>
      </c>
    </row>
    <row r="6" spans="2:7" x14ac:dyDescent="0.35">
      <c r="B6" s="1" t="s">
        <v>32</v>
      </c>
      <c r="C6" s="2">
        <v>1.0400774007032692</v>
      </c>
      <c r="D6" s="1" t="s">
        <v>38</v>
      </c>
      <c r="E6" s="2">
        <v>0.27568520076029157</v>
      </c>
      <c r="F6" s="1" t="s">
        <v>25</v>
      </c>
      <c r="G6" s="2">
        <v>0.21756186102695757</v>
      </c>
    </row>
    <row r="7" spans="2:7" x14ac:dyDescent="0.35">
      <c r="B7" s="1" t="s">
        <v>33</v>
      </c>
      <c r="C7" s="2">
        <v>1.0735270729181541</v>
      </c>
      <c r="D7" s="1" t="s">
        <v>36</v>
      </c>
      <c r="E7" s="2">
        <v>0.4036619507976702</v>
      </c>
      <c r="F7" s="1" t="s">
        <v>34</v>
      </c>
      <c r="G7" s="2">
        <v>0.26400708352443036</v>
      </c>
    </row>
    <row r="8" spans="2:7" x14ac:dyDescent="0.35">
      <c r="B8" s="1" t="s">
        <v>37</v>
      </c>
      <c r="C8" s="2">
        <v>1.0742496059271955</v>
      </c>
      <c r="D8" s="1" t="s">
        <v>24</v>
      </c>
      <c r="E8" s="2">
        <v>0.45062825711966026</v>
      </c>
      <c r="F8" s="1" t="s">
        <v>24</v>
      </c>
      <c r="G8" s="2">
        <v>0.2839458942461478</v>
      </c>
    </row>
    <row r="9" spans="2:7" x14ac:dyDescent="0.35">
      <c r="B9" s="1" t="s">
        <v>30</v>
      </c>
      <c r="C9" s="2">
        <v>1.0768312156422006</v>
      </c>
      <c r="D9" s="1" t="s">
        <v>30</v>
      </c>
      <c r="E9" s="2">
        <v>0.51053308397707187</v>
      </c>
      <c r="F9" s="1" t="s">
        <v>28</v>
      </c>
      <c r="G9" s="2">
        <v>0.30407252145669644</v>
      </c>
    </row>
    <row r="10" spans="2:7" x14ac:dyDescent="0.35">
      <c r="B10" s="1" t="s">
        <v>26</v>
      </c>
      <c r="C10" s="2">
        <v>1.0778173198578669</v>
      </c>
      <c r="D10" s="1" t="s">
        <v>37</v>
      </c>
      <c r="E10" s="2">
        <v>0.51507665930915558</v>
      </c>
      <c r="F10" s="1" t="s">
        <v>30</v>
      </c>
      <c r="G10" s="2">
        <v>0.32528491437905827</v>
      </c>
    </row>
    <row r="11" spans="2:7" x14ac:dyDescent="0.35">
      <c r="B11" s="1" t="s">
        <v>24</v>
      </c>
      <c r="C11" s="2">
        <v>1.0816747225361076</v>
      </c>
      <c r="D11" s="1" t="s">
        <v>32</v>
      </c>
      <c r="E11" s="2">
        <v>0.52907991216227945</v>
      </c>
      <c r="F11" s="1" t="s">
        <v>32</v>
      </c>
      <c r="G11" s="2">
        <v>0.32916182161091156</v>
      </c>
    </row>
    <row r="12" spans="2:7" x14ac:dyDescent="0.35">
      <c r="B12" s="1" t="s">
        <v>35</v>
      </c>
      <c r="C12" s="2">
        <v>1.0835327808776241</v>
      </c>
      <c r="D12" s="1" t="s">
        <v>27</v>
      </c>
      <c r="E12" s="2">
        <v>0.6679631074910537</v>
      </c>
      <c r="F12" s="1" t="s">
        <v>35</v>
      </c>
      <c r="G12" s="2">
        <v>0.34728003170884864</v>
      </c>
    </row>
    <row r="13" spans="2:7" x14ac:dyDescent="0.35">
      <c r="B13" s="1" t="s">
        <v>38</v>
      </c>
      <c r="C13" s="2">
        <v>1.0837282340387326</v>
      </c>
      <c r="D13" s="1" t="s">
        <v>35</v>
      </c>
      <c r="E13" s="2">
        <v>0.78078678276467584</v>
      </c>
      <c r="F13" s="1" t="s">
        <v>37</v>
      </c>
      <c r="G13" s="2">
        <v>0.35925942188873339</v>
      </c>
    </row>
    <row r="14" spans="2:7" x14ac:dyDescent="0.35">
      <c r="B14" s="1" t="s">
        <v>27</v>
      </c>
      <c r="C14" s="2">
        <v>1.08434082626562</v>
      </c>
      <c r="D14" s="1" t="s">
        <v>25</v>
      </c>
      <c r="E14" s="2">
        <v>0.82393690725013802</v>
      </c>
      <c r="F14" s="1" t="s">
        <v>29</v>
      </c>
      <c r="G14" s="2">
        <v>0.36039306107281655</v>
      </c>
    </row>
    <row r="15" spans="2:7" x14ac:dyDescent="0.35">
      <c r="B15" s="1" t="s">
        <v>36</v>
      </c>
      <c r="C15" s="2">
        <v>1.0845501513158105</v>
      </c>
      <c r="D15" s="1" t="s">
        <v>28</v>
      </c>
      <c r="E15" s="2">
        <v>0.83742584637133965</v>
      </c>
      <c r="F15" s="1" t="s">
        <v>38</v>
      </c>
      <c r="G15" s="2">
        <v>0.36734696309460346</v>
      </c>
    </row>
    <row r="16" spans="2:7" x14ac:dyDescent="0.35">
      <c r="B16" s="1" t="s">
        <v>28</v>
      </c>
      <c r="C16" s="2">
        <v>1.0853838747277869</v>
      </c>
      <c r="D16" s="1" t="s">
        <v>33</v>
      </c>
      <c r="E16" s="2">
        <v>0.92727629738864714</v>
      </c>
      <c r="F16" s="1" t="s">
        <v>31</v>
      </c>
      <c r="G16" s="2">
        <v>0.4285301854110336</v>
      </c>
    </row>
    <row r="17" spans="2:7" x14ac:dyDescent="0.35">
      <c r="B17" s="1" t="s">
        <v>34</v>
      </c>
      <c r="C17" s="2">
        <v>1.0934659146045751</v>
      </c>
      <c r="D17" s="1" t="s">
        <v>26</v>
      </c>
      <c r="E17" s="2">
        <v>1.0242486525167331</v>
      </c>
      <c r="F17" s="1" t="s">
        <v>26</v>
      </c>
      <c r="G17" s="2">
        <v>0.45640055476551766</v>
      </c>
    </row>
    <row r="18" spans="2:7" x14ac:dyDescent="0.35">
      <c r="B18" s="1" t="s">
        <v>29</v>
      </c>
      <c r="C18" s="2">
        <v>1.1000000000000001</v>
      </c>
      <c r="D18" s="1" t="s">
        <v>29</v>
      </c>
      <c r="E18" s="2">
        <v>1.1000000000000001</v>
      </c>
      <c r="F18" s="1" t="s">
        <v>39</v>
      </c>
      <c r="G18" s="2">
        <v>1.1000000000000001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DF54-C3F2-4DD0-89C3-1124CEE6A9C6}">
  <dimension ref="B2:G17"/>
  <sheetViews>
    <sheetView workbookViewId="0">
      <selection activeCell="B2" sqref="B2:G17"/>
    </sheetView>
  </sheetViews>
  <sheetFormatPr defaultRowHeight="14.5" x14ac:dyDescent="0.35"/>
  <cols>
    <col min="2" max="2" width="16.453125" bestFit="1" customWidth="1"/>
    <col min="6" max="6" width="16.36328125" bestFit="1" customWidth="1"/>
    <col min="7" max="7" width="4.36328125" bestFit="1" customWidth="1"/>
  </cols>
  <sheetData>
    <row r="2" spans="2:7" x14ac:dyDescent="0.35">
      <c r="B2" s="1" t="s">
        <v>48</v>
      </c>
      <c r="C2" s="1"/>
      <c r="D2" s="1" t="s">
        <v>49</v>
      </c>
      <c r="E2" s="1"/>
      <c r="F2" s="1" t="s">
        <v>7</v>
      </c>
      <c r="G2" s="1"/>
    </row>
    <row r="3" spans="2:7" x14ac:dyDescent="0.35">
      <c r="B3" s="1" t="s">
        <v>33</v>
      </c>
      <c r="C3" s="2">
        <v>0.74414726691775068</v>
      </c>
      <c r="D3" s="1" t="s">
        <v>28</v>
      </c>
      <c r="E3" s="2">
        <v>0.16631558097776977</v>
      </c>
      <c r="F3" s="1" t="s">
        <v>37</v>
      </c>
      <c r="G3" s="2">
        <v>0.1</v>
      </c>
    </row>
    <row r="4" spans="2:7" x14ac:dyDescent="0.35">
      <c r="B4" s="1" t="s">
        <v>36</v>
      </c>
      <c r="C4" s="2">
        <v>0.89935857570484545</v>
      </c>
      <c r="D4" s="1" t="s">
        <v>29</v>
      </c>
      <c r="E4" s="2">
        <v>0.2278700318631037</v>
      </c>
      <c r="F4" s="1" t="s">
        <v>39</v>
      </c>
      <c r="G4" s="2">
        <v>0.14040404040404023</v>
      </c>
    </row>
    <row r="5" spans="2:7" x14ac:dyDescent="0.35">
      <c r="B5" s="1" t="s">
        <v>27</v>
      </c>
      <c r="C5" s="2">
        <v>0.93902452024506766</v>
      </c>
      <c r="D5" s="1" t="s">
        <v>35</v>
      </c>
      <c r="E5" s="2">
        <v>0.2835034807439763</v>
      </c>
      <c r="F5" s="1" t="s">
        <v>36</v>
      </c>
      <c r="G5" s="2">
        <v>0.42323232323232329</v>
      </c>
    </row>
    <row r="6" spans="2:7" x14ac:dyDescent="0.35">
      <c r="B6" s="1" t="s">
        <v>38</v>
      </c>
      <c r="C6" s="2">
        <v>0.98614667091644159</v>
      </c>
      <c r="D6" s="1" t="s">
        <v>36</v>
      </c>
      <c r="E6" s="2">
        <v>0.33081023660410935</v>
      </c>
      <c r="F6" s="1" t="s">
        <v>35</v>
      </c>
      <c r="G6" s="2">
        <v>0.48383838383838396</v>
      </c>
    </row>
    <row r="7" spans="2:7" x14ac:dyDescent="0.35">
      <c r="B7" s="1" t="s">
        <v>31</v>
      </c>
      <c r="C7" s="2">
        <v>0.99090306640696635</v>
      </c>
      <c r="D7" s="1" t="s">
        <v>32</v>
      </c>
      <c r="E7" s="2">
        <v>0.38711076952801238</v>
      </c>
      <c r="F7" s="1" t="s">
        <v>38</v>
      </c>
      <c r="G7" s="2">
        <v>0.50404040404040373</v>
      </c>
    </row>
    <row r="8" spans="2:7" x14ac:dyDescent="0.35">
      <c r="B8" s="1" t="s">
        <v>26</v>
      </c>
      <c r="C8" s="2">
        <v>1.0097381137599639</v>
      </c>
      <c r="D8" s="1" t="s">
        <v>33</v>
      </c>
      <c r="E8" s="2">
        <v>0.38711076952801238</v>
      </c>
      <c r="F8" s="1" t="s">
        <v>30</v>
      </c>
      <c r="G8" s="2">
        <v>0.51414141414141412</v>
      </c>
    </row>
    <row r="9" spans="2:7" x14ac:dyDescent="0.35">
      <c r="B9" s="1" t="s">
        <v>35</v>
      </c>
      <c r="C9" s="2">
        <v>1.015185355150992</v>
      </c>
      <c r="D9" s="1" t="s">
        <v>37</v>
      </c>
      <c r="E9" s="2">
        <v>0.38819041064735704</v>
      </c>
      <c r="F9" s="1" t="s">
        <v>32</v>
      </c>
      <c r="G9" s="2">
        <v>0.55454545454545456</v>
      </c>
    </row>
    <row r="10" spans="2:7" x14ac:dyDescent="0.35">
      <c r="B10" s="1" t="s">
        <v>32</v>
      </c>
      <c r="C10" s="2">
        <v>1.0389553032168339</v>
      </c>
      <c r="D10" s="1" t="s">
        <v>25</v>
      </c>
      <c r="E10" s="2">
        <v>0.42745529743137989</v>
      </c>
      <c r="F10" s="1" t="s">
        <v>33</v>
      </c>
      <c r="G10" s="2">
        <v>0.6656565656565655</v>
      </c>
    </row>
    <row r="11" spans="2:7" x14ac:dyDescent="0.35">
      <c r="B11" s="1" t="s">
        <v>29</v>
      </c>
      <c r="C11" s="2">
        <v>1.0405294391658442</v>
      </c>
      <c r="D11" s="1" t="s">
        <v>38</v>
      </c>
      <c r="E11" s="2">
        <v>0.52515317010790075</v>
      </c>
      <c r="F11" s="1" t="s">
        <v>34</v>
      </c>
      <c r="G11" s="2">
        <v>0.73636363636363644</v>
      </c>
    </row>
    <row r="12" spans="2:7" x14ac:dyDescent="0.35">
      <c r="B12" s="1" t="s">
        <v>24</v>
      </c>
      <c r="C12" s="2">
        <v>1.0428415189655396</v>
      </c>
      <c r="D12" s="1" t="s">
        <v>30</v>
      </c>
      <c r="E12" s="2">
        <v>0.70546879385822048</v>
      </c>
      <c r="F12" s="1" t="s">
        <v>25</v>
      </c>
      <c r="G12" s="2">
        <v>0.75656565656565622</v>
      </c>
    </row>
    <row r="13" spans="2:7" x14ac:dyDescent="0.35">
      <c r="B13" s="1" t="s">
        <v>25</v>
      </c>
      <c r="C13" s="2">
        <v>1.0714195022602289</v>
      </c>
      <c r="D13" s="1" t="s">
        <v>27</v>
      </c>
      <c r="E13" s="2">
        <v>0.73683433787341346</v>
      </c>
      <c r="F13" s="1" t="s">
        <v>31</v>
      </c>
      <c r="G13" s="2">
        <v>0.80707070707070705</v>
      </c>
    </row>
    <row r="14" spans="2:7" x14ac:dyDescent="0.35">
      <c r="B14" s="1" t="s">
        <v>28</v>
      </c>
      <c r="C14" s="2">
        <v>1.0746103985499014</v>
      </c>
      <c r="D14" s="1" t="s">
        <v>34</v>
      </c>
      <c r="E14" s="2">
        <v>0.76820834521224013</v>
      </c>
      <c r="F14" s="1" t="s">
        <v>29</v>
      </c>
      <c r="G14" s="2">
        <v>0.84747474747474749</v>
      </c>
    </row>
    <row r="15" spans="2:7" x14ac:dyDescent="0.35">
      <c r="B15" s="1" t="s">
        <v>34</v>
      </c>
      <c r="C15" s="2">
        <v>1.0850804537422913</v>
      </c>
      <c r="D15" s="1" t="s">
        <v>26</v>
      </c>
      <c r="E15" s="2">
        <v>0.91092977117959961</v>
      </c>
      <c r="F15" s="1" t="s">
        <v>24</v>
      </c>
      <c r="G15" s="2">
        <v>0.89797979797979777</v>
      </c>
    </row>
    <row r="16" spans="2:7" x14ac:dyDescent="0.35">
      <c r="B16" s="1" t="s">
        <v>37</v>
      </c>
      <c r="C16" s="2">
        <v>1.0992678151663484</v>
      </c>
      <c r="D16" s="1" t="s">
        <v>31</v>
      </c>
      <c r="E16" s="2">
        <v>1.0108431445891743</v>
      </c>
      <c r="F16" s="1" t="s">
        <v>27</v>
      </c>
      <c r="G16" s="2">
        <v>0.99898989898989887</v>
      </c>
    </row>
    <row r="17" spans="2:7" x14ac:dyDescent="0.35">
      <c r="B17" s="1" t="s">
        <v>30</v>
      </c>
      <c r="C17" s="2">
        <v>1.1000000000000001</v>
      </c>
      <c r="D17" s="1" t="s">
        <v>24</v>
      </c>
      <c r="E17" s="2">
        <v>1.1000000000000001</v>
      </c>
      <c r="F17" s="1" t="s">
        <v>28</v>
      </c>
      <c r="G17" s="2">
        <v>1.1000000000000001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1983-39A2-4A90-BAE1-E70BCF62B173}">
  <dimension ref="B1:G18"/>
  <sheetViews>
    <sheetView topLeftCell="A3" workbookViewId="0">
      <selection activeCell="B5" sqref="B1:G18"/>
    </sheetView>
  </sheetViews>
  <sheetFormatPr defaultRowHeight="14.5" x14ac:dyDescent="0.35"/>
  <cols>
    <col min="4" max="4" width="24.36328125" customWidth="1"/>
    <col min="5" max="5" width="7.08984375" customWidth="1"/>
    <col min="6" max="6" width="15.6328125" bestFit="1" customWidth="1"/>
  </cols>
  <sheetData>
    <row r="1" spans="2:7" x14ac:dyDescent="0.35">
      <c r="C1" t="s">
        <v>44</v>
      </c>
    </row>
    <row r="2" spans="2:7" x14ac:dyDescent="0.35">
      <c r="B2" s="1" t="s">
        <v>8</v>
      </c>
      <c r="C2" s="1"/>
      <c r="D2" s="1" t="s">
        <v>51</v>
      </c>
      <c r="E2" s="1"/>
      <c r="F2" s="1" t="s">
        <v>52</v>
      </c>
      <c r="G2" s="1"/>
    </row>
    <row r="3" spans="2:7" x14ac:dyDescent="0.35">
      <c r="B3" s="1" t="s">
        <v>35</v>
      </c>
      <c r="C3" s="2">
        <v>0.1</v>
      </c>
      <c r="D3" s="1" t="s">
        <v>36</v>
      </c>
      <c r="E3" s="2">
        <v>0.1</v>
      </c>
      <c r="F3" s="1" t="s">
        <v>31</v>
      </c>
      <c r="G3" s="2">
        <v>0.1</v>
      </c>
    </row>
    <row r="4" spans="2:7" x14ac:dyDescent="0.35">
      <c r="B4" s="1" t="s">
        <v>37</v>
      </c>
      <c r="C4" s="2">
        <v>0.25909090909090893</v>
      </c>
      <c r="D4" s="1" t="s">
        <v>34</v>
      </c>
      <c r="E4" s="2">
        <v>0.27567567567567586</v>
      </c>
      <c r="F4" s="1" t="s">
        <v>30</v>
      </c>
      <c r="G4" s="2">
        <v>0.13978262169353486</v>
      </c>
    </row>
    <row r="5" spans="2:7" x14ac:dyDescent="0.35">
      <c r="B5" s="1" t="s">
        <v>26</v>
      </c>
      <c r="C5" s="2">
        <v>0.31590909090909108</v>
      </c>
      <c r="D5" s="1" t="s">
        <v>38</v>
      </c>
      <c r="E5" s="2">
        <v>0.356756756756757</v>
      </c>
      <c r="F5" s="1" t="s">
        <v>28</v>
      </c>
      <c r="G5" s="2">
        <v>0.20805590929781395</v>
      </c>
    </row>
    <row r="6" spans="2:7" x14ac:dyDescent="0.35">
      <c r="B6" s="1" t="s">
        <v>36</v>
      </c>
      <c r="C6" s="2">
        <v>0.31590909090909108</v>
      </c>
      <c r="D6" s="1" t="s">
        <v>31</v>
      </c>
      <c r="E6" s="2">
        <v>0.39729729729729724</v>
      </c>
      <c r="F6" s="1" t="s">
        <v>38</v>
      </c>
      <c r="G6" s="2">
        <v>0.2503594708603033</v>
      </c>
    </row>
    <row r="7" spans="2:7" x14ac:dyDescent="0.35">
      <c r="B7" s="1" t="s">
        <v>39</v>
      </c>
      <c r="C7" s="2">
        <v>0.38409090909090926</v>
      </c>
      <c r="D7" s="1" t="s">
        <v>30</v>
      </c>
      <c r="E7" s="2">
        <v>0.43783783783783814</v>
      </c>
      <c r="F7" s="1" t="s">
        <v>24</v>
      </c>
      <c r="G7" s="2">
        <v>0.26428030215145182</v>
      </c>
    </row>
    <row r="8" spans="2:7" x14ac:dyDescent="0.35">
      <c r="B8" s="1" t="s">
        <v>34</v>
      </c>
      <c r="C8" s="2">
        <v>0.45227272727272705</v>
      </c>
      <c r="D8" s="1" t="s">
        <v>28</v>
      </c>
      <c r="E8" s="2">
        <v>0.62702702702702684</v>
      </c>
      <c r="F8" s="1" t="s">
        <v>27</v>
      </c>
      <c r="G8" s="2">
        <v>0.31191430020209376</v>
      </c>
    </row>
    <row r="9" spans="2:7" x14ac:dyDescent="0.35">
      <c r="B9" s="1" t="s">
        <v>31</v>
      </c>
      <c r="C9" s="2">
        <v>0.55454545454545467</v>
      </c>
      <c r="D9" s="1" t="s">
        <v>37</v>
      </c>
      <c r="E9" s="2">
        <v>0.70810810810810798</v>
      </c>
      <c r="F9" s="1" t="s">
        <v>32</v>
      </c>
      <c r="G9" s="2">
        <v>0.38900588188244223</v>
      </c>
    </row>
    <row r="10" spans="2:7" x14ac:dyDescent="0.35">
      <c r="B10" s="1" t="s">
        <v>33</v>
      </c>
      <c r="C10" s="2">
        <v>0.58863636363636351</v>
      </c>
      <c r="D10" s="1" t="s">
        <v>35</v>
      </c>
      <c r="E10" s="2">
        <v>0.73513513513513506</v>
      </c>
      <c r="F10" s="1" t="s">
        <v>37</v>
      </c>
      <c r="G10" s="2">
        <v>0.39181956713849408</v>
      </c>
    </row>
    <row r="11" spans="2:7" x14ac:dyDescent="0.35">
      <c r="B11" s="1" t="s">
        <v>38</v>
      </c>
      <c r="C11" s="2">
        <v>0.65681818181818175</v>
      </c>
      <c r="D11" s="1" t="s">
        <v>33</v>
      </c>
      <c r="E11" s="2">
        <v>0.78918918918918923</v>
      </c>
      <c r="F11" s="1" t="s">
        <v>39</v>
      </c>
      <c r="G11" s="2">
        <v>0.43843943210287784</v>
      </c>
    </row>
    <row r="12" spans="2:7" x14ac:dyDescent="0.35">
      <c r="B12" s="1" t="s">
        <v>30</v>
      </c>
      <c r="C12" s="2">
        <v>0.73636363636363611</v>
      </c>
      <c r="D12" s="1" t="s">
        <v>26</v>
      </c>
      <c r="E12" s="2">
        <v>0.80270270270270305</v>
      </c>
      <c r="F12" s="1" t="s">
        <v>26</v>
      </c>
      <c r="G12" s="2">
        <v>0.49966708388258407</v>
      </c>
    </row>
    <row r="13" spans="2:7" x14ac:dyDescent="0.35">
      <c r="B13" s="1" t="s">
        <v>25</v>
      </c>
      <c r="C13" s="2">
        <v>0.80454545454545434</v>
      </c>
      <c r="D13" s="1" t="s">
        <v>39</v>
      </c>
      <c r="E13" s="2">
        <v>0.80270270270270305</v>
      </c>
      <c r="F13" s="1" t="s">
        <v>25</v>
      </c>
      <c r="G13" s="2">
        <v>0.63199830153930348</v>
      </c>
    </row>
    <row r="14" spans="2:7" x14ac:dyDescent="0.35">
      <c r="B14" s="1" t="s">
        <v>32</v>
      </c>
      <c r="C14" s="2">
        <v>0.91818181818181799</v>
      </c>
      <c r="D14" s="1" t="s">
        <v>24</v>
      </c>
      <c r="E14" s="2">
        <v>0.85675675675675655</v>
      </c>
      <c r="F14" s="1" t="s">
        <v>33</v>
      </c>
      <c r="G14" s="2">
        <v>0.70461935763208638</v>
      </c>
    </row>
    <row r="15" spans="2:7" x14ac:dyDescent="0.35">
      <c r="B15" s="1" t="s">
        <v>24</v>
      </c>
      <c r="C15" s="2">
        <v>0.96363636363636351</v>
      </c>
      <c r="D15" s="1" t="s">
        <v>25</v>
      </c>
      <c r="E15" s="2">
        <v>0.85675675675675655</v>
      </c>
      <c r="F15" s="1" t="s">
        <v>35</v>
      </c>
      <c r="G15" s="2">
        <v>1.1000000000000001</v>
      </c>
    </row>
    <row r="16" spans="2:7" x14ac:dyDescent="0.35">
      <c r="B16" s="1" t="s">
        <v>29</v>
      </c>
      <c r="C16" s="2">
        <v>0.98636363636363622</v>
      </c>
      <c r="D16" s="1" t="s">
        <v>27</v>
      </c>
      <c r="E16" s="2">
        <v>1.0054054054054056</v>
      </c>
      <c r="F16" s="1" t="s">
        <v>29</v>
      </c>
      <c r="G16" s="2">
        <v>1.1000000000000001</v>
      </c>
    </row>
    <row r="17" spans="2:7" x14ac:dyDescent="0.35">
      <c r="B17" s="1" t="s">
        <v>28</v>
      </c>
      <c r="C17" s="2">
        <v>1.009090909090909</v>
      </c>
      <c r="D17" s="1" t="s">
        <v>32</v>
      </c>
      <c r="E17" s="2">
        <v>1.0189189189189189</v>
      </c>
      <c r="F17" s="1" t="s">
        <v>34</v>
      </c>
      <c r="G17" s="2">
        <v>1.1000000000000001</v>
      </c>
    </row>
    <row r="18" spans="2:7" x14ac:dyDescent="0.35">
      <c r="B18" s="1" t="s">
        <v>27</v>
      </c>
      <c r="C18" s="2">
        <v>1.1000000000000001</v>
      </c>
      <c r="D18" s="1" t="s">
        <v>29</v>
      </c>
      <c r="E18" s="2">
        <v>1.1000000000000001</v>
      </c>
      <c r="F18" s="1" t="s">
        <v>36</v>
      </c>
      <c r="G18" s="2">
        <v>1.1000000000000001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88BF-8843-4EBC-B71C-899084ECFA59}">
  <dimension ref="B1:W18"/>
  <sheetViews>
    <sheetView tabSelected="1" topLeftCell="A4" workbookViewId="0">
      <selection activeCell="C7" sqref="B1:K18"/>
    </sheetView>
  </sheetViews>
  <sheetFormatPr defaultRowHeight="14.5" x14ac:dyDescent="0.35"/>
  <cols>
    <col min="3" max="3" width="22.6328125" bestFit="1" customWidth="1"/>
    <col min="4" max="4" width="25.6328125" bestFit="1" customWidth="1"/>
    <col min="5" max="5" width="20.81640625" bestFit="1" customWidth="1"/>
    <col min="6" max="6" width="16.453125" bestFit="1" customWidth="1"/>
    <col min="8" max="8" width="9.08984375" bestFit="1" customWidth="1"/>
    <col min="9" max="9" width="16.453125" bestFit="1" customWidth="1"/>
    <col min="10" max="10" width="23.54296875" bestFit="1" customWidth="1"/>
    <col min="11" max="11" width="15.6328125" bestFit="1" customWidth="1"/>
    <col min="15" max="15" width="22.6328125" bestFit="1" customWidth="1"/>
    <col min="16" max="16" width="25.6328125" bestFit="1" customWidth="1"/>
    <col min="17" max="17" width="20.81640625" bestFit="1" customWidth="1"/>
    <col min="18" max="18" width="16.453125" bestFit="1" customWidth="1"/>
    <col min="20" max="20" width="9.08984375" bestFit="1" customWidth="1"/>
    <col min="21" max="21" width="16.453125" bestFit="1" customWidth="1"/>
    <col min="22" max="22" width="23.54296875" bestFit="1" customWidth="1"/>
    <col min="23" max="23" width="15.6328125" bestFit="1" customWidth="1"/>
  </cols>
  <sheetData>
    <row r="1" spans="2:23" x14ac:dyDescent="0.35">
      <c r="D1" t="s">
        <v>44</v>
      </c>
      <c r="O1" t="s">
        <v>45</v>
      </c>
    </row>
    <row r="2" spans="2:23" x14ac:dyDescent="0.35">
      <c r="B2" s="1"/>
      <c r="C2" s="1" t="s">
        <v>2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8</v>
      </c>
      <c r="I2" s="1" t="s">
        <v>50</v>
      </c>
      <c r="J2" s="1" t="s">
        <v>51</v>
      </c>
      <c r="K2" s="1" t="s">
        <v>52</v>
      </c>
      <c r="N2" s="1"/>
      <c r="O2" s="1" t="s">
        <v>2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8</v>
      </c>
      <c r="U2" s="1" t="s">
        <v>50</v>
      </c>
      <c r="V2" s="1" t="s">
        <v>51</v>
      </c>
      <c r="W2" s="1" t="s">
        <v>52</v>
      </c>
    </row>
    <row r="3" spans="2:23" x14ac:dyDescent="0.35">
      <c r="B3" s="1" t="s">
        <v>39</v>
      </c>
      <c r="C3" s="2">
        <v>0.1</v>
      </c>
      <c r="D3" s="2">
        <v>0.17780327385922304</v>
      </c>
      <c r="E3" s="2">
        <v>1.1000000000000001</v>
      </c>
      <c r="F3" s="2">
        <v>0.1</v>
      </c>
      <c r="G3" s="2">
        <v>0.1</v>
      </c>
      <c r="H3" s="2">
        <v>0.38409090909090926</v>
      </c>
      <c r="I3" s="2">
        <v>0.14040404040404023</v>
      </c>
      <c r="J3" s="2">
        <v>0.80270270270270305</v>
      </c>
      <c r="K3" s="2">
        <v>0.43843943210287784</v>
      </c>
      <c r="N3" s="1" t="s">
        <v>24</v>
      </c>
      <c r="O3" s="1">
        <v>8</v>
      </c>
      <c r="P3" s="1">
        <v>11</v>
      </c>
      <c r="Q3" s="1">
        <v>11</v>
      </c>
      <c r="R3" s="1">
        <v>6</v>
      </c>
      <c r="S3" s="1">
        <v>1</v>
      </c>
      <c r="T3" s="1">
        <v>4</v>
      </c>
      <c r="U3" s="1">
        <v>3</v>
      </c>
      <c r="V3" s="1">
        <v>4</v>
      </c>
      <c r="W3" s="1">
        <v>12</v>
      </c>
    </row>
    <row r="4" spans="2:23" x14ac:dyDescent="0.35">
      <c r="B4" s="1" t="s">
        <v>36</v>
      </c>
      <c r="C4" s="2">
        <v>1.0845501513158105</v>
      </c>
      <c r="D4" s="2">
        <v>0.4036619507976702</v>
      </c>
      <c r="E4" s="2">
        <v>0.14966866628300712</v>
      </c>
      <c r="F4" s="2">
        <v>0.89935857570484545</v>
      </c>
      <c r="G4" s="2">
        <v>0.33081023660410935</v>
      </c>
      <c r="H4" s="2">
        <v>0.31590909090909108</v>
      </c>
      <c r="I4" s="2">
        <v>0.42323232323232329</v>
      </c>
      <c r="J4" s="2">
        <v>0.1</v>
      </c>
      <c r="K4" s="2">
        <v>1.1000000000000001</v>
      </c>
      <c r="N4" s="1" t="s">
        <v>27</v>
      </c>
      <c r="O4" s="1">
        <v>5</v>
      </c>
      <c r="P4" s="1">
        <v>7</v>
      </c>
      <c r="Q4" s="1">
        <v>16</v>
      </c>
      <c r="R4" s="1">
        <v>13</v>
      </c>
      <c r="S4" s="1">
        <v>5</v>
      </c>
      <c r="T4" s="1">
        <v>1</v>
      </c>
      <c r="U4" s="1">
        <v>2</v>
      </c>
      <c r="V4" s="1">
        <v>3</v>
      </c>
      <c r="W4" s="1">
        <v>11</v>
      </c>
    </row>
    <row r="5" spans="2:23" x14ac:dyDescent="0.35">
      <c r="B5" s="1" t="s">
        <v>37</v>
      </c>
      <c r="C5" s="2">
        <v>1.0742496059271955</v>
      </c>
      <c r="D5" s="2">
        <v>0.51507665930915558</v>
      </c>
      <c r="E5" s="2">
        <v>0.35925942188873339</v>
      </c>
      <c r="F5" s="2">
        <v>1.0992678151663484</v>
      </c>
      <c r="G5" s="2">
        <v>0.38819041064735704</v>
      </c>
      <c r="H5" s="2">
        <v>0.25909090909090893</v>
      </c>
      <c r="I5" s="2">
        <v>0.1</v>
      </c>
      <c r="J5" s="2">
        <v>0.70810810810810798</v>
      </c>
      <c r="K5" s="2">
        <v>0.39181956713849408</v>
      </c>
      <c r="N5" s="1" t="s">
        <v>28</v>
      </c>
      <c r="O5" s="1">
        <v>3</v>
      </c>
      <c r="P5" s="1">
        <v>4</v>
      </c>
      <c r="Q5" s="1">
        <v>10</v>
      </c>
      <c r="R5" s="1">
        <v>4</v>
      </c>
      <c r="S5" s="1">
        <v>15</v>
      </c>
      <c r="T5" s="1">
        <v>2</v>
      </c>
      <c r="U5" s="1">
        <v>1</v>
      </c>
      <c r="V5" s="1">
        <v>11</v>
      </c>
      <c r="W5" s="1">
        <v>14</v>
      </c>
    </row>
    <row r="6" spans="2:23" x14ac:dyDescent="0.35">
      <c r="B6" s="1" t="s">
        <v>38</v>
      </c>
      <c r="C6" s="2">
        <v>1.0837282340387326</v>
      </c>
      <c r="D6" s="2">
        <v>0.27568520076029157</v>
      </c>
      <c r="E6" s="2">
        <v>0.36734696309460346</v>
      </c>
      <c r="F6" s="2">
        <v>0.98614667091644159</v>
      </c>
      <c r="G6" s="2">
        <v>0.52515317010790075</v>
      </c>
      <c r="H6" s="2">
        <v>0.65681818181818175</v>
      </c>
      <c r="I6" s="2">
        <v>0.50404040404040373</v>
      </c>
      <c r="J6" s="2">
        <v>0.356756756756757</v>
      </c>
      <c r="K6" s="2">
        <v>0.2503594708603033</v>
      </c>
      <c r="N6" s="1" t="s">
        <v>31</v>
      </c>
      <c r="O6" s="1">
        <v>14</v>
      </c>
      <c r="P6" s="1">
        <v>14</v>
      </c>
      <c r="Q6" s="1">
        <v>3</v>
      </c>
      <c r="R6" s="1">
        <v>11</v>
      </c>
      <c r="S6" s="1">
        <v>2</v>
      </c>
      <c r="T6" s="1">
        <v>10</v>
      </c>
      <c r="U6" s="1">
        <v>5</v>
      </c>
      <c r="V6" s="1">
        <v>13</v>
      </c>
      <c r="W6" s="1">
        <v>16</v>
      </c>
    </row>
    <row r="7" spans="2:23" x14ac:dyDescent="0.35">
      <c r="B7" s="1" t="s">
        <v>31</v>
      </c>
      <c r="C7" s="2">
        <v>0.94631149403533532</v>
      </c>
      <c r="D7" s="2">
        <v>0.27470557532840278</v>
      </c>
      <c r="E7" s="2">
        <v>0.4285301854110336</v>
      </c>
      <c r="F7" s="2">
        <v>0.99090306640696635</v>
      </c>
      <c r="G7" s="2">
        <v>1.0108431445891743</v>
      </c>
      <c r="H7" s="2">
        <v>0.55454545454545467</v>
      </c>
      <c r="I7" s="2">
        <v>0.80707070707070705</v>
      </c>
      <c r="J7" s="2">
        <v>0.39729729729729724</v>
      </c>
      <c r="K7" s="2">
        <v>0.1</v>
      </c>
      <c r="N7" s="1" t="s">
        <v>25</v>
      </c>
      <c r="O7" s="1">
        <v>15</v>
      </c>
      <c r="P7" s="1">
        <v>5</v>
      </c>
      <c r="Q7" s="1">
        <v>13</v>
      </c>
      <c r="R7" s="1">
        <v>5</v>
      </c>
      <c r="S7" s="1">
        <v>8</v>
      </c>
      <c r="T7" s="1">
        <v>6</v>
      </c>
      <c r="U7" s="1">
        <v>6</v>
      </c>
      <c r="V7" s="1">
        <v>4</v>
      </c>
      <c r="W7" s="1">
        <v>6</v>
      </c>
    </row>
    <row r="8" spans="2:23" x14ac:dyDescent="0.35">
      <c r="B8" s="1" t="s">
        <v>30</v>
      </c>
      <c r="C8" s="2">
        <v>1.0768312156422006</v>
      </c>
      <c r="D8" s="2">
        <v>0.51053308397707187</v>
      </c>
      <c r="E8" s="2">
        <v>0.32528491437905827</v>
      </c>
      <c r="F8" s="2">
        <v>1.1000000000000001</v>
      </c>
      <c r="G8" s="2">
        <v>0.70546879385822048</v>
      </c>
      <c r="H8" s="2">
        <v>0.73636363636363611</v>
      </c>
      <c r="I8" s="2">
        <v>0.51414141414141412</v>
      </c>
      <c r="J8" s="2">
        <v>0.43783783783783814</v>
      </c>
      <c r="K8" s="2">
        <v>0.13978262169353486</v>
      </c>
      <c r="N8" s="1" t="s">
        <v>38</v>
      </c>
      <c r="O8" s="1">
        <v>6</v>
      </c>
      <c r="P8" s="1">
        <v>13</v>
      </c>
      <c r="Q8" s="1">
        <v>4</v>
      </c>
      <c r="R8" s="1">
        <v>12</v>
      </c>
      <c r="S8" s="1">
        <v>7</v>
      </c>
      <c r="T8" s="1">
        <v>8</v>
      </c>
      <c r="U8" s="1">
        <v>11</v>
      </c>
      <c r="V8" s="1">
        <v>14</v>
      </c>
      <c r="W8" s="1">
        <v>13</v>
      </c>
    </row>
    <row r="9" spans="2:23" x14ac:dyDescent="0.35">
      <c r="B9" s="1" t="s">
        <v>34</v>
      </c>
      <c r="C9" s="2">
        <v>1.0934659146045751</v>
      </c>
      <c r="D9" s="2">
        <v>0.1</v>
      </c>
      <c r="E9" s="2">
        <v>0.26400708352443036</v>
      </c>
      <c r="F9" s="2">
        <v>1.0850804537422913</v>
      </c>
      <c r="G9" s="2">
        <v>0.76820834521224013</v>
      </c>
      <c r="H9" s="2">
        <v>0.45227272727272705</v>
      </c>
      <c r="I9" s="2">
        <v>0.73636363636363644</v>
      </c>
      <c r="J9" s="2">
        <v>0.27567567567567586</v>
      </c>
      <c r="K9" s="2">
        <v>1.1000000000000001</v>
      </c>
      <c r="N9" s="1" t="s">
        <v>35</v>
      </c>
      <c r="O9" s="1">
        <v>7</v>
      </c>
      <c r="P9" s="1">
        <v>6</v>
      </c>
      <c r="Q9" s="1">
        <v>7</v>
      </c>
      <c r="R9" s="1">
        <v>9</v>
      </c>
      <c r="S9" s="1">
        <v>13</v>
      </c>
      <c r="T9" s="1">
        <v>16</v>
      </c>
      <c r="U9" s="1">
        <v>12</v>
      </c>
      <c r="V9" s="1">
        <v>9</v>
      </c>
      <c r="W9" s="1">
        <v>1</v>
      </c>
    </row>
    <row r="10" spans="2:23" x14ac:dyDescent="0.35">
      <c r="B10" s="1" t="s">
        <v>35</v>
      </c>
      <c r="C10" s="2">
        <v>1.0835327808776241</v>
      </c>
      <c r="D10" s="2">
        <v>0.78078678276467584</v>
      </c>
      <c r="E10" s="2">
        <v>0.34728003170884864</v>
      </c>
      <c r="F10" s="2">
        <v>1.015185355150992</v>
      </c>
      <c r="G10" s="2">
        <v>0.2835034807439763</v>
      </c>
      <c r="H10" s="2">
        <v>0.1</v>
      </c>
      <c r="I10" s="2">
        <v>0.48383838383838396</v>
      </c>
      <c r="J10" s="2">
        <v>0.73513513513513506</v>
      </c>
      <c r="K10" s="2">
        <v>1.1000000000000001</v>
      </c>
      <c r="N10" s="1" t="s">
        <v>30</v>
      </c>
      <c r="O10" s="1">
        <v>10</v>
      </c>
      <c r="P10" s="1">
        <v>10</v>
      </c>
      <c r="Q10" s="1">
        <v>9</v>
      </c>
      <c r="R10" s="1">
        <v>1</v>
      </c>
      <c r="S10" s="1">
        <v>6</v>
      </c>
      <c r="T10" s="1">
        <v>7</v>
      </c>
      <c r="U10" s="1">
        <v>10</v>
      </c>
      <c r="V10" s="1">
        <v>12</v>
      </c>
      <c r="W10" s="1">
        <v>15</v>
      </c>
    </row>
    <row r="11" spans="2:23" x14ac:dyDescent="0.35">
      <c r="B11" s="1" t="s">
        <v>33</v>
      </c>
      <c r="C11" s="2">
        <v>1.0735270729181541</v>
      </c>
      <c r="D11" s="2">
        <v>0.92727629738864714</v>
      </c>
      <c r="E11" s="2">
        <v>0.16911054421610991</v>
      </c>
      <c r="F11" s="2">
        <v>0.74414726691775068</v>
      </c>
      <c r="G11" s="2">
        <v>0.38711076952801238</v>
      </c>
      <c r="H11" s="2">
        <v>0.58863636363636351</v>
      </c>
      <c r="I11" s="2">
        <v>0.6656565656565655</v>
      </c>
      <c r="J11" s="2">
        <v>0.78918918918918923</v>
      </c>
      <c r="K11" s="2">
        <v>0.70461935763208638</v>
      </c>
      <c r="N11" s="1" t="s">
        <v>32</v>
      </c>
      <c r="O11" s="1">
        <v>13</v>
      </c>
      <c r="P11" s="1">
        <v>8</v>
      </c>
      <c r="Q11" s="1">
        <v>8</v>
      </c>
      <c r="R11" s="1">
        <v>8</v>
      </c>
      <c r="S11" s="1">
        <v>10</v>
      </c>
      <c r="T11" s="1">
        <v>5</v>
      </c>
      <c r="U11" s="1">
        <v>9</v>
      </c>
      <c r="V11" s="1">
        <v>2</v>
      </c>
      <c r="W11" s="1">
        <v>10</v>
      </c>
    </row>
    <row r="12" spans="2:23" x14ac:dyDescent="0.35">
      <c r="B12" s="1" t="s">
        <v>26</v>
      </c>
      <c r="C12" s="2">
        <v>1.0778173198578669</v>
      </c>
      <c r="D12" s="2">
        <v>1.0242486525167331</v>
      </c>
      <c r="E12" s="2">
        <v>0.45640055476551766</v>
      </c>
      <c r="F12" s="2">
        <v>1.0097381137599639</v>
      </c>
      <c r="G12" s="2">
        <v>0.91092977117959961</v>
      </c>
      <c r="H12" s="2">
        <v>0.31590909090909108</v>
      </c>
      <c r="I12" s="2">
        <v>0.1</v>
      </c>
      <c r="J12" s="2">
        <v>0.80270270270270305</v>
      </c>
      <c r="K12" s="2">
        <v>0.49966708388258407</v>
      </c>
      <c r="N12" s="1" t="s">
        <v>26</v>
      </c>
      <c r="O12" s="1">
        <v>9</v>
      </c>
      <c r="P12" s="1">
        <v>2</v>
      </c>
      <c r="Q12" s="1">
        <v>2</v>
      </c>
      <c r="R12" s="1">
        <v>10</v>
      </c>
      <c r="S12" s="1">
        <v>3</v>
      </c>
      <c r="T12" s="1">
        <v>13</v>
      </c>
      <c r="U12" s="1">
        <v>15</v>
      </c>
      <c r="V12" s="1">
        <v>6</v>
      </c>
      <c r="W12" s="1">
        <v>7</v>
      </c>
    </row>
    <row r="13" spans="2:23" x14ac:dyDescent="0.35">
      <c r="B13" s="1" t="s">
        <v>32</v>
      </c>
      <c r="C13" s="2">
        <v>1.0400774007032692</v>
      </c>
      <c r="D13" s="2">
        <v>0.52907991216227945</v>
      </c>
      <c r="E13" s="2">
        <v>0.32916182161091156</v>
      </c>
      <c r="F13" s="2">
        <v>1.0389553032168339</v>
      </c>
      <c r="G13" s="2">
        <v>0.38711076952801238</v>
      </c>
      <c r="H13" s="2">
        <v>0.91818181818181799</v>
      </c>
      <c r="I13" s="2">
        <v>0.55454545454545456</v>
      </c>
      <c r="J13" s="2">
        <v>1.0189189189189189</v>
      </c>
      <c r="K13" s="2">
        <v>0.38900588188244223</v>
      </c>
      <c r="N13" s="1" t="s">
        <v>29</v>
      </c>
      <c r="O13" s="1">
        <v>1</v>
      </c>
      <c r="P13" s="1">
        <v>1</v>
      </c>
      <c r="Q13" s="1">
        <v>5</v>
      </c>
      <c r="R13" s="1">
        <v>7</v>
      </c>
      <c r="S13" s="1">
        <v>14</v>
      </c>
      <c r="T13" s="1">
        <v>3</v>
      </c>
      <c r="U13" s="1">
        <v>4</v>
      </c>
      <c r="V13" s="1">
        <v>1</v>
      </c>
      <c r="W13" s="1">
        <v>1</v>
      </c>
    </row>
    <row r="14" spans="2:23" x14ac:dyDescent="0.35">
      <c r="B14" s="1" t="s">
        <v>28</v>
      </c>
      <c r="C14" s="2">
        <v>1.0853838747277869</v>
      </c>
      <c r="D14" s="2">
        <v>0.83742584637133965</v>
      </c>
      <c r="E14" s="2">
        <v>0.30407252145669644</v>
      </c>
      <c r="F14" s="2">
        <v>1.0746103985499014</v>
      </c>
      <c r="G14" s="2">
        <v>0.16631558097776977</v>
      </c>
      <c r="H14" s="2">
        <v>1.009090909090909</v>
      </c>
      <c r="I14" s="2">
        <v>1.1000000000000001</v>
      </c>
      <c r="J14" s="2">
        <v>0.62702702702702684</v>
      </c>
      <c r="K14" s="2">
        <v>0.20805590929781395</v>
      </c>
      <c r="N14" s="1" t="s">
        <v>34</v>
      </c>
      <c r="O14" s="1">
        <v>2</v>
      </c>
      <c r="P14" s="1">
        <v>16</v>
      </c>
      <c r="Q14" s="1">
        <v>12</v>
      </c>
      <c r="R14" s="1">
        <v>3</v>
      </c>
      <c r="S14" s="1">
        <v>4</v>
      </c>
      <c r="T14" s="1">
        <v>11</v>
      </c>
      <c r="U14" s="1">
        <v>7</v>
      </c>
      <c r="V14" s="1">
        <v>15</v>
      </c>
      <c r="W14" s="1">
        <v>1</v>
      </c>
    </row>
    <row r="15" spans="2:23" x14ac:dyDescent="0.35">
      <c r="B15" s="1" t="s">
        <v>25</v>
      </c>
      <c r="C15" s="2">
        <v>0.84406862329580312</v>
      </c>
      <c r="D15" s="2">
        <v>0.82393690725013802</v>
      </c>
      <c r="E15" s="2">
        <v>0.21756186102695757</v>
      </c>
      <c r="F15" s="2">
        <v>1.0714195022602289</v>
      </c>
      <c r="G15" s="2">
        <v>0.42745529743137989</v>
      </c>
      <c r="H15" s="2">
        <v>0.80454545454545434</v>
      </c>
      <c r="I15" s="2">
        <v>0.75656565656565622</v>
      </c>
      <c r="J15" s="2">
        <v>0.85675675675675655</v>
      </c>
      <c r="K15" s="2">
        <v>0.63199830153930348</v>
      </c>
      <c r="N15" s="1" t="s">
        <v>33</v>
      </c>
      <c r="O15" s="1">
        <v>12</v>
      </c>
      <c r="P15" s="1">
        <v>3</v>
      </c>
      <c r="Q15" s="1">
        <v>14</v>
      </c>
      <c r="R15" s="1">
        <v>15</v>
      </c>
      <c r="S15" s="1">
        <v>10</v>
      </c>
      <c r="T15" s="1">
        <v>9</v>
      </c>
      <c r="U15" s="1">
        <v>8</v>
      </c>
      <c r="V15" s="1">
        <v>8</v>
      </c>
      <c r="W15" s="1">
        <v>5</v>
      </c>
    </row>
    <row r="16" spans="2:23" x14ac:dyDescent="0.35">
      <c r="B16" s="1" t="s">
        <v>24</v>
      </c>
      <c r="C16" s="2">
        <v>1.0816747225361076</v>
      </c>
      <c r="D16" s="2">
        <v>0.45062825711966026</v>
      </c>
      <c r="E16" s="2">
        <v>0.2839458942461478</v>
      </c>
      <c r="F16" s="2">
        <v>1.0428415189655396</v>
      </c>
      <c r="G16" s="2">
        <v>1.1000000000000001</v>
      </c>
      <c r="H16" s="2">
        <v>0.96363636363636351</v>
      </c>
      <c r="I16" s="2">
        <v>0.89797979797979777</v>
      </c>
      <c r="J16" s="2">
        <v>0.85675675675675655</v>
      </c>
      <c r="K16" s="2">
        <v>0.26428030215145182</v>
      </c>
      <c r="N16" s="1" t="s">
        <v>36</v>
      </c>
      <c r="O16" s="1">
        <v>4</v>
      </c>
      <c r="P16" s="1">
        <v>12</v>
      </c>
      <c r="Q16" s="1">
        <v>15</v>
      </c>
      <c r="R16" s="1">
        <v>14</v>
      </c>
      <c r="S16" s="1">
        <v>12</v>
      </c>
      <c r="T16" s="1">
        <v>13</v>
      </c>
      <c r="U16" s="1">
        <v>13</v>
      </c>
      <c r="V16" s="1">
        <v>16</v>
      </c>
      <c r="W16" s="1">
        <v>1</v>
      </c>
    </row>
    <row r="17" spans="2:23" x14ac:dyDescent="0.35">
      <c r="B17" s="1" t="s">
        <v>27</v>
      </c>
      <c r="C17" s="2">
        <v>1.08434082626562</v>
      </c>
      <c r="D17" s="2">
        <v>0.6679631074910537</v>
      </c>
      <c r="E17" s="2">
        <v>0.1</v>
      </c>
      <c r="F17" s="2">
        <v>0.93902452024506766</v>
      </c>
      <c r="G17" s="2">
        <v>0.73683433787341346</v>
      </c>
      <c r="H17" s="2">
        <v>1.1000000000000001</v>
      </c>
      <c r="I17" s="2">
        <v>0.99898989898989887</v>
      </c>
      <c r="J17" s="2">
        <v>1.0054054054054056</v>
      </c>
      <c r="K17" s="2">
        <v>0.31191430020209376</v>
      </c>
      <c r="N17" s="1" t="s">
        <v>39</v>
      </c>
      <c r="O17" s="1">
        <v>16</v>
      </c>
      <c r="P17" s="1">
        <v>15</v>
      </c>
      <c r="Q17" s="1">
        <v>1</v>
      </c>
      <c r="R17" s="1">
        <v>16</v>
      </c>
      <c r="S17" s="1">
        <v>16</v>
      </c>
      <c r="T17" s="1">
        <v>12</v>
      </c>
      <c r="U17" s="1">
        <v>14</v>
      </c>
      <c r="V17" s="1">
        <v>6</v>
      </c>
      <c r="W17" s="1">
        <v>8</v>
      </c>
    </row>
    <row r="18" spans="2:23" x14ac:dyDescent="0.35">
      <c r="B18" s="1" t="s">
        <v>29</v>
      </c>
      <c r="C18" s="2">
        <v>1.1000000000000001</v>
      </c>
      <c r="D18" s="2">
        <v>1.1000000000000001</v>
      </c>
      <c r="E18" s="2">
        <v>0.36039306107281655</v>
      </c>
      <c r="F18" s="2">
        <v>1.0405294391658442</v>
      </c>
      <c r="G18" s="2">
        <v>0.2278700318631037</v>
      </c>
      <c r="H18" s="2">
        <v>0.98636363636363622</v>
      </c>
      <c r="I18" s="2">
        <v>0.84747474747474749</v>
      </c>
      <c r="J18" s="2">
        <v>1.1000000000000001</v>
      </c>
      <c r="K18" s="2">
        <v>1.1000000000000001</v>
      </c>
      <c r="N18" s="1" t="s">
        <v>37</v>
      </c>
      <c r="O18" s="1">
        <v>11</v>
      </c>
      <c r="P18" s="1">
        <v>9</v>
      </c>
      <c r="Q18" s="1">
        <v>6</v>
      </c>
      <c r="R18" s="1">
        <v>2</v>
      </c>
      <c r="S18" s="1">
        <v>9</v>
      </c>
      <c r="T18" s="1">
        <v>15</v>
      </c>
      <c r="U18" s="1">
        <v>15</v>
      </c>
      <c r="V18" s="1">
        <v>10</v>
      </c>
      <c r="W18" s="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2A27-E9D2-4DF6-A2E1-01B1D17B68FC}">
  <dimension ref="B2:G18"/>
  <sheetViews>
    <sheetView workbookViewId="0">
      <selection activeCell="D6" sqref="B2:G18"/>
    </sheetView>
  </sheetViews>
  <sheetFormatPr defaultRowHeight="14.5" x14ac:dyDescent="0.35"/>
  <sheetData>
    <row r="2" spans="2:7" x14ac:dyDescent="0.35">
      <c r="B2" s="1" t="s">
        <v>42</v>
      </c>
      <c r="C2" s="1"/>
      <c r="D2" s="1" t="s">
        <v>43</v>
      </c>
      <c r="E2" s="1"/>
      <c r="F2" s="1" t="s">
        <v>16</v>
      </c>
      <c r="G2" s="1"/>
    </row>
    <row r="3" spans="2:7" x14ac:dyDescent="0.35">
      <c r="B3" s="1" t="s">
        <v>33</v>
      </c>
      <c r="C3" s="2">
        <v>0.1</v>
      </c>
      <c r="D3" s="1" t="s">
        <v>36</v>
      </c>
      <c r="E3" s="2">
        <v>0.1</v>
      </c>
      <c r="F3" s="1" t="s">
        <v>30</v>
      </c>
      <c r="G3" s="2">
        <v>0.1</v>
      </c>
    </row>
    <row r="4" spans="2:7" x14ac:dyDescent="0.35">
      <c r="B4" s="1" t="s">
        <v>38</v>
      </c>
      <c r="C4" s="2">
        <v>0.23123753381550316</v>
      </c>
      <c r="D4" s="1" t="s">
        <v>38</v>
      </c>
      <c r="E4" s="2">
        <v>0.13497246947255315</v>
      </c>
      <c r="F4" s="1" t="s">
        <v>37</v>
      </c>
      <c r="G4" s="2">
        <v>0.2052631578947367</v>
      </c>
    </row>
    <row r="5" spans="2:7" x14ac:dyDescent="0.35">
      <c r="B5" s="1" t="s">
        <v>28</v>
      </c>
      <c r="C5" s="2">
        <v>0.28948636311588732</v>
      </c>
      <c r="D5" s="1" t="s">
        <v>33</v>
      </c>
      <c r="E5" s="2">
        <v>0.16208504029134524</v>
      </c>
      <c r="F5" s="1" t="s">
        <v>39</v>
      </c>
      <c r="G5" s="2">
        <v>0.4052631578947371</v>
      </c>
    </row>
    <row r="6" spans="2:7" x14ac:dyDescent="0.35">
      <c r="B6" s="1" t="s">
        <v>34</v>
      </c>
      <c r="C6" s="2">
        <v>0.31142380336268782</v>
      </c>
      <c r="D6" s="1" t="s">
        <v>34</v>
      </c>
      <c r="E6" s="2">
        <v>0.22761912540778914</v>
      </c>
      <c r="F6" s="1" t="s">
        <v>36</v>
      </c>
      <c r="G6" s="2">
        <v>0.47894736842105279</v>
      </c>
    </row>
    <row r="7" spans="2:7" x14ac:dyDescent="0.35">
      <c r="B7" s="1" t="s">
        <v>37</v>
      </c>
      <c r="C7" s="2">
        <v>0.34097176792741313</v>
      </c>
      <c r="D7" s="1" t="s">
        <v>31</v>
      </c>
      <c r="E7" s="2">
        <v>0.29792064489951564</v>
      </c>
      <c r="F7" s="1" t="s">
        <v>35</v>
      </c>
      <c r="G7" s="2">
        <v>0.47894736842105279</v>
      </c>
    </row>
    <row r="8" spans="2:7" x14ac:dyDescent="0.35">
      <c r="B8" s="1" t="s">
        <v>32</v>
      </c>
      <c r="C8" s="2">
        <v>0.35449961519862816</v>
      </c>
      <c r="D8" s="1" t="s">
        <v>30</v>
      </c>
      <c r="E8" s="2">
        <v>0.30830526595929386</v>
      </c>
      <c r="F8" s="1" t="s">
        <v>38</v>
      </c>
      <c r="G8" s="2">
        <v>0.47894736842105279</v>
      </c>
    </row>
    <row r="9" spans="2:7" x14ac:dyDescent="0.35">
      <c r="B9" s="1" t="s">
        <v>35</v>
      </c>
      <c r="C9" s="2">
        <v>0.38882879031226936</v>
      </c>
      <c r="D9" s="1" t="s">
        <v>37</v>
      </c>
      <c r="E9" s="2">
        <v>0.31493202425024835</v>
      </c>
      <c r="F9" s="1" t="s">
        <v>32</v>
      </c>
      <c r="G9" s="2">
        <v>0.50000000000000011</v>
      </c>
    </row>
    <row r="10" spans="2:7" x14ac:dyDescent="0.35">
      <c r="B10" s="1" t="s">
        <v>29</v>
      </c>
      <c r="C10" s="2">
        <v>0.41254770963372411</v>
      </c>
      <c r="D10" s="1" t="s">
        <v>26</v>
      </c>
      <c r="E10" s="2">
        <v>0.32444375866905606</v>
      </c>
      <c r="F10" s="1" t="s">
        <v>26</v>
      </c>
      <c r="G10" s="2">
        <v>0.55263157894736836</v>
      </c>
    </row>
    <row r="11" spans="2:7" x14ac:dyDescent="0.35">
      <c r="B11" s="1" t="s">
        <v>26</v>
      </c>
      <c r="C11" s="2">
        <v>0.41827185365258979</v>
      </c>
      <c r="D11" s="1" t="s">
        <v>29</v>
      </c>
      <c r="E11" s="2">
        <v>0.32830683654177062</v>
      </c>
      <c r="F11" s="1" t="s">
        <v>34</v>
      </c>
      <c r="G11" s="2">
        <v>0.5736842105263158</v>
      </c>
    </row>
    <row r="12" spans="2:7" x14ac:dyDescent="0.35">
      <c r="B12" s="1" t="s">
        <v>30</v>
      </c>
      <c r="C12" s="2">
        <v>0.44344072376530419</v>
      </c>
      <c r="D12" s="1" t="s">
        <v>27</v>
      </c>
      <c r="E12" s="2">
        <v>0.34522527641316297</v>
      </c>
      <c r="F12" s="1" t="s">
        <v>33</v>
      </c>
      <c r="G12" s="2">
        <v>0.75263157894736832</v>
      </c>
    </row>
    <row r="13" spans="2:7" x14ac:dyDescent="0.35">
      <c r="B13" s="1" t="s">
        <v>39</v>
      </c>
      <c r="C13" s="2">
        <v>0.4904785283237727</v>
      </c>
      <c r="D13" s="1" t="s">
        <v>32</v>
      </c>
      <c r="E13" s="2">
        <v>0.36549113499620922</v>
      </c>
      <c r="F13" s="1" t="s">
        <v>31</v>
      </c>
      <c r="G13" s="2">
        <v>0.76315789473684226</v>
      </c>
    </row>
    <row r="14" spans="2:7" x14ac:dyDescent="0.35">
      <c r="B14" s="1" t="s">
        <v>36</v>
      </c>
      <c r="C14" s="2">
        <v>0.51857950994803859</v>
      </c>
      <c r="D14" s="1" t="s">
        <v>35</v>
      </c>
      <c r="E14" s="2">
        <v>0.36612657386475267</v>
      </c>
      <c r="F14" s="1" t="s">
        <v>25</v>
      </c>
      <c r="G14" s="2">
        <v>0.80526315789473701</v>
      </c>
    </row>
    <row r="15" spans="2:7" x14ac:dyDescent="0.35">
      <c r="B15" s="1" t="s">
        <v>25</v>
      </c>
      <c r="C15" s="2">
        <v>0.6700416857904492</v>
      </c>
      <c r="D15" s="1" t="s">
        <v>39</v>
      </c>
      <c r="E15" s="2">
        <v>0.44527636634569545</v>
      </c>
      <c r="F15" s="1" t="s">
        <v>29</v>
      </c>
      <c r="G15" s="2">
        <v>0.88947368421052653</v>
      </c>
    </row>
    <row r="16" spans="2:7" x14ac:dyDescent="0.35">
      <c r="B16" s="1" t="s">
        <v>31</v>
      </c>
      <c r="C16" s="2">
        <v>0.70447878586749457</v>
      </c>
      <c r="D16" s="1" t="s">
        <v>28</v>
      </c>
      <c r="E16" s="2">
        <v>0.47384772814866249</v>
      </c>
      <c r="F16" s="1" t="s">
        <v>24</v>
      </c>
      <c r="G16" s="2">
        <v>0.9</v>
      </c>
    </row>
    <row r="17" spans="2:7" x14ac:dyDescent="0.35">
      <c r="B17" s="1" t="s">
        <v>27</v>
      </c>
      <c r="C17" s="2">
        <v>0.76094616913973356</v>
      </c>
      <c r="D17" s="1" t="s">
        <v>24</v>
      </c>
      <c r="E17" s="2">
        <v>0.5256936456681498</v>
      </c>
      <c r="F17" s="1" t="s">
        <v>27</v>
      </c>
      <c r="G17" s="2">
        <v>0.98421052631578954</v>
      </c>
    </row>
    <row r="18" spans="2:7" x14ac:dyDescent="0.35">
      <c r="B18" s="1" t="s">
        <v>24</v>
      </c>
      <c r="C18" s="2">
        <v>1.1000000000000001</v>
      </c>
      <c r="D18" s="1" t="s">
        <v>25</v>
      </c>
      <c r="E18" s="2">
        <v>1.1000000000000001</v>
      </c>
      <c r="F18" s="1" t="s">
        <v>28</v>
      </c>
      <c r="G18" s="2">
        <v>1.1000000000000001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6CD9-626D-4485-B4BC-60EE2B85DE43}">
  <dimension ref="B2:E18"/>
  <sheetViews>
    <sheetView workbookViewId="0">
      <selection activeCell="D5" sqref="B2:E18"/>
    </sheetView>
  </sheetViews>
  <sheetFormatPr defaultRowHeight="14.5" x14ac:dyDescent="0.35"/>
  <sheetData>
    <row r="2" spans="2:5" x14ac:dyDescent="0.35">
      <c r="B2" s="1" t="s">
        <v>40</v>
      </c>
      <c r="C2" s="1"/>
      <c r="D2" s="1" t="s">
        <v>41</v>
      </c>
      <c r="E2" s="1"/>
    </row>
    <row r="3" spans="2:5" x14ac:dyDescent="0.35">
      <c r="B3" s="1" t="s">
        <v>39</v>
      </c>
      <c r="C3" s="2">
        <v>0.1</v>
      </c>
      <c r="D3" s="1" t="s">
        <v>33</v>
      </c>
      <c r="E3" s="2">
        <v>0.1</v>
      </c>
    </row>
    <row r="4" spans="2:5" x14ac:dyDescent="0.35">
      <c r="B4" s="1" t="s">
        <v>31</v>
      </c>
      <c r="C4" s="2">
        <v>0.21887058407333573</v>
      </c>
      <c r="D4" s="1" t="s">
        <v>38</v>
      </c>
      <c r="E4" s="2">
        <v>0.11015643491879248</v>
      </c>
    </row>
    <row r="5" spans="2:5" x14ac:dyDescent="0.35">
      <c r="B5" s="1" t="s">
        <v>29</v>
      </c>
      <c r="C5" s="2">
        <v>0.24800646831163634</v>
      </c>
      <c r="D5" s="1" t="s">
        <v>37</v>
      </c>
      <c r="E5" s="2">
        <v>0.11069492404499195</v>
      </c>
    </row>
    <row r="6" spans="2:5" x14ac:dyDescent="0.35">
      <c r="B6" s="1" t="s">
        <v>27</v>
      </c>
      <c r="C6" s="2">
        <v>0.39170583271269888</v>
      </c>
      <c r="D6" s="1" t="s">
        <v>32</v>
      </c>
      <c r="E6" s="2">
        <v>0.11226486585352816</v>
      </c>
    </row>
    <row r="7" spans="2:5" x14ac:dyDescent="0.35">
      <c r="B7" s="1" t="s">
        <v>38</v>
      </c>
      <c r="C7" s="2">
        <v>0.40765718918710059</v>
      </c>
      <c r="D7" s="1" t="s">
        <v>34</v>
      </c>
      <c r="E7" s="2">
        <v>0.11495330005203511</v>
      </c>
    </row>
    <row r="8" spans="2:5" x14ac:dyDescent="0.35">
      <c r="B8" s="1" t="s">
        <v>25</v>
      </c>
      <c r="C8" s="2">
        <v>0.4076596558741572</v>
      </c>
      <c r="D8" s="1" t="s">
        <v>35</v>
      </c>
      <c r="E8" s="2">
        <v>0.11526147038752291</v>
      </c>
    </row>
    <row r="9" spans="2:5" x14ac:dyDescent="0.35">
      <c r="B9" s="1" t="s">
        <v>32</v>
      </c>
      <c r="C9" s="2">
        <v>0.4710050536901168</v>
      </c>
      <c r="D9" s="1" t="s">
        <v>24</v>
      </c>
      <c r="E9" s="2">
        <v>0.11585260695225788</v>
      </c>
    </row>
    <row r="10" spans="2:5" x14ac:dyDescent="0.35">
      <c r="B10" s="1" t="s">
        <v>37</v>
      </c>
      <c r="C10" s="2">
        <v>0.48728082965711239</v>
      </c>
      <c r="D10" s="1" t="s">
        <v>28</v>
      </c>
      <c r="E10" s="2">
        <v>0.1168718289230887</v>
      </c>
    </row>
    <row r="11" spans="2:5" x14ac:dyDescent="0.35">
      <c r="B11" s="1" t="s">
        <v>35</v>
      </c>
      <c r="C11" s="2">
        <v>0.50120933148092695</v>
      </c>
      <c r="D11" s="1" t="s">
        <v>36</v>
      </c>
      <c r="E11" s="2">
        <v>0.13262522594924089</v>
      </c>
    </row>
    <row r="12" spans="2:5" x14ac:dyDescent="0.35">
      <c r="B12" s="1" t="s">
        <v>36</v>
      </c>
      <c r="C12" s="2">
        <v>0.5163444717583574</v>
      </c>
      <c r="D12" s="1" t="s">
        <v>27</v>
      </c>
      <c r="E12" s="2">
        <v>0.13370727135763641</v>
      </c>
    </row>
    <row r="13" spans="2:5" x14ac:dyDescent="0.35">
      <c r="B13" s="1" t="s">
        <v>24</v>
      </c>
      <c r="C13" s="2">
        <v>0.51749047015235528</v>
      </c>
      <c r="D13" s="1" t="s">
        <v>29</v>
      </c>
      <c r="E13" s="2">
        <v>0.15220074325303481</v>
      </c>
    </row>
    <row r="14" spans="2:5" x14ac:dyDescent="0.35">
      <c r="B14" s="1" t="s">
        <v>28</v>
      </c>
      <c r="C14" s="2">
        <v>0.65978001809642461</v>
      </c>
      <c r="D14" s="1" t="s">
        <v>39</v>
      </c>
      <c r="E14" s="2">
        <v>0.15904675935158188</v>
      </c>
    </row>
    <row r="15" spans="2:5" x14ac:dyDescent="0.35">
      <c r="B15" s="1" t="s">
        <v>34</v>
      </c>
      <c r="C15" s="2">
        <v>0.66634555252544458</v>
      </c>
      <c r="D15" s="1" t="s">
        <v>25</v>
      </c>
      <c r="E15" s="2">
        <v>0.18179497722330887</v>
      </c>
    </row>
    <row r="16" spans="2:5" x14ac:dyDescent="0.35">
      <c r="B16" s="1" t="s">
        <v>33</v>
      </c>
      <c r="C16" s="2">
        <v>0.72837271144236648</v>
      </c>
      <c r="D16" s="1" t="s">
        <v>31</v>
      </c>
      <c r="E16" s="2">
        <v>0.19896721088629946</v>
      </c>
    </row>
    <row r="17" spans="2:5" x14ac:dyDescent="0.35">
      <c r="B17" s="1" t="s">
        <v>30</v>
      </c>
      <c r="C17" s="2">
        <v>0.91494455738638014</v>
      </c>
      <c r="D17" s="1" t="s">
        <v>26</v>
      </c>
      <c r="E17" s="2">
        <v>0.71199107426963226</v>
      </c>
    </row>
    <row r="18" spans="2:5" x14ac:dyDescent="0.35">
      <c r="B18" s="1" t="s">
        <v>26</v>
      </c>
      <c r="C18" s="2">
        <v>1.1000000000000001</v>
      </c>
      <c r="D18" s="1" t="s">
        <v>30</v>
      </c>
      <c r="E18" s="2">
        <v>1.1000000000000001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A728-2BC4-41E6-820E-DC627ACF50A6}">
  <dimension ref="B1:O18"/>
  <sheetViews>
    <sheetView workbookViewId="0">
      <selection activeCell="C4" sqref="B1:G18"/>
    </sheetView>
  </sheetViews>
  <sheetFormatPr defaultRowHeight="14.5" x14ac:dyDescent="0.35"/>
  <cols>
    <col min="2" max="2" width="10.54296875" bestFit="1" customWidth="1"/>
    <col min="7" max="7" width="12.1796875" bestFit="1" customWidth="1"/>
    <col min="10" max="10" width="10.54296875" bestFit="1" customWidth="1"/>
    <col min="15" max="15" width="12.54296875" customWidth="1"/>
  </cols>
  <sheetData>
    <row r="1" spans="2:15" x14ac:dyDescent="0.35">
      <c r="D1" t="s">
        <v>44</v>
      </c>
      <c r="K1" t="s">
        <v>45</v>
      </c>
    </row>
    <row r="2" spans="2:15" x14ac:dyDescent="0.35">
      <c r="B2" s="1" t="s">
        <v>20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16</v>
      </c>
      <c r="J2" s="1" t="s">
        <v>20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16</v>
      </c>
    </row>
    <row r="3" spans="2:15" x14ac:dyDescent="0.35">
      <c r="B3" s="1" t="s">
        <v>38</v>
      </c>
      <c r="C3" s="2">
        <v>0.40765718918710059</v>
      </c>
      <c r="D3" s="2">
        <v>0.11015643491879248</v>
      </c>
      <c r="E3" s="2">
        <v>0.23123753381550316</v>
      </c>
      <c r="F3" s="2">
        <v>0.13497246947255315</v>
      </c>
      <c r="G3" s="2">
        <v>0.47894736842105279</v>
      </c>
      <c r="J3" s="1" t="s">
        <v>24</v>
      </c>
      <c r="K3" s="3">
        <v>6</v>
      </c>
      <c r="L3" s="3">
        <v>10</v>
      </c>
      <c r="M3" s="3">
        <v>1</v>
      </c>
      <c r="N3" s="3">
        <v>2</v>
      </c>
      <c r="O3" s="3">
        <v>3</v>
      </c>
    </row>
    <row r="4" spans="2:15" x14ac:dyDescent="0.35">
      <c r="B4" s="1" t="s">
        <v>37</v>
      </c>
      <c r="C4" s="2">
        <v>0.48728082965711239</v>
      </c>
      <c r="D4" s="2">
        <v>0.11069492404499195</v>
      </c>
      <c r="E4" s="2">
        <v>0.34097176792741313</v>
      </c>
      <c r="F4" s="2">
        <v>0.31493202425024835</v>
      </c>
      <c r="G4" s="2">
        <v>0.2052631578947367</v>
      </c>
      <c r="J4" s="1" t="s">
        <v>26</v>
      </c>
      <c r="K4" s="3">
        <v>1</v>
      </c>
      <c r="L4" s="3">
        <v>2</v>
      </c>
      <c r="M4" s="3">
        <v>8</v>
      </c>
      <c r="N4" s="3">
        <v>9</v>
      </c>
      <c r="O4" s="3">
        <v>9</v>
      </c>
    </row>
    <row r="5" spans="2:15" x14ac:dyDescent="0.35">
      <c r="B5" s="1" t="s">
        <v>39</v>
      </c>
      <c r="C5" s="2">
        <v>0.1</v>
      </c>
      <c r="D5" s="2">
        <v>0.15904675935158188</v>
      </c>
      <c r="E5" s="2">
        <v>0.4904785283237727</v>
      </c>
      <c r="F5" s="2">
        <v>0.44527636634569545</v>
      </c>
      <c r="G5" s="2">
        <v>0.4052631578947371</v>
      </c>
      <c r="J5" s="1" t="s">
        <v>30</v>
      </c>
      <c r="K5" s="3">
        <v>2</v>
      </c>
      <c r="L5" s="3">
        <v>1</v>
      </c>
      <c r="M5" s="3">
        <v>7</v>
      </c>
      <c r="N5" s="3">
        <v>11</v>
      </c>
      <c r="O5" s="3">
        <v>16</v>
      </c>
    </row>
    <row r="6" spans="2:15" x14ac:dyDescent="0.35">
      <c r="B6" s="1" t="s">
        <v>36</v>
      </c>
      <c r="C6" s="2">
        <v>0.5163444717583574</v>
      </c>
      <c r="D6" s="2">
        <v>0.13262522594924089</v>
      </c>
      <c r="E6" s="2">
        <v>0.51857950994803859</v>
      </c>
      <c r="F6" s="2">
        <v>0.1</v>
      </c>
      <c r="G6" s="2">
        <v>0.47894736842105279</v>
      </c>
      <c r="J6" s="1" t="s">
        <v>27</v>
      </c>
      <c r="K6" s="3">
        <v>13</v>
      </c>
      <c r="L6" s="3">
        <v>7</v>
      </c>
      <c r="M6" s="3">
        <v>2</v>
      </c>
      <c r="N6" s="3">
        <v>7</v>
      </c>
      <c r="O6" s="3">
        <v>2</v>
      </c>
    </row>
    <row r="7" spans="2:15" x14ac:dyDescent="0.35">
      <c r="B7" s="1" t="s">
        <v>32</v>
      </c>
      <c r="C7" s="2">
        <v>0.4710050536901168</v>
      </c>
      <c r="D7" s="2">
        <v>0.11226486585352816</v>
      </c>
      <c r="E7" s="2">
        <v>0.35449961519862816</v>
      </c>
      <c r="F7" s="2">
        <v>0.36549113499620922</v>
      </c>
      <c r="G7" s="2">
        <v>0.50000000000000011</v>
      </c>
      <c r="J7" s="1" t="s">
        <v>25</v>
      </c>
      <c r="K7" s="3">
        <v>11</v>
      </c>
      <c r="L7" s="3">
        <v>4</v>
      </c>
      <c r="M7" s="3">
        <v>4</v>
      </c>
      <c r="N7" s="3">
        <v>1</v>
      </c>
      <c r="O7" s="3">
        <v>5</v>
      </c>
    </row>
    <row r="8" spans="2:15" x14ac:dyDescent="0.35">
      <c r="B8" s="1" t="s">
        <v>33</v>
      </c>
      <c r="C8" s="2">
        <v>0.72837271144236648</v>
      </c>
      <c r="D8" s="2">
        <v>0.1</v>
      </c>
      <c r="E8" s="2">
        <v>0.1</v>
      </c>
      <c r="F8" s="2">
        <v>0.16208504029134524</v>
      </c>
      <c r="G8" s="2">
        <v>0.75263157894736832</v>
      </c>
      <c r="J8" s="1" t="s">
        <v>28</v>
      </c>
      <c r="K8" s="3">
        <v>5</v>
      </c>
      <c r="L8" s="3">
        <v>9</v>
      </c>
      <c r="M8" s="3">
        <v>14</v>
      </c>
      <c r="N8" s="3">
        <v>3</v>
      </c>
      <c r="O8" s="3">
        <v>1</v>
      </c>
    </row>
    <row r="9" spans="2:15" x14ac:dyDescent="0.35">
      <c r="B9" s="1" t="s">
        <v>35</v>
      </c>
      <c r="C9" s="2">
        <v>0.50120933148092695</v>
      </c>
      <c r="D9" s="2">
        <v>0.11526147038752291</v>
      </c>
      <c r="E9" s="2">
        <v>0.38882879031226936</v>
      </c>
      <c r="F9" s="2">
        <v>0.36612657386475267</v>
      </c>
      <c r="G9" s="2">
        <v>0.47894736842105279</v>
      </c>
      <c r="J9" s="1" t="s">
        <v>36</v>
      </c>
      <c r="K9" s="3">
        <v>7</v>
      </c>
      <c r="L9" s="3">
        <v>8</v>
      </c>
      <c r="M9" s="3">
        <v>5</v>
      </c>
      <c r="N9" s="3">
        <v>16</v>
      </c>
      <c r="O9" s="3">
        <v>11</v>
      </c>
    </row>
    <row r="10" spans="2:15" x14ac:dyDescent="0.35">
      <c r="B10" s="1" t="s">
        <v>34</v>
      </c>
      <c r="C10" s="2">
        <v>0.66634555252544458</v>
      </c>
      <c r="D10" s="2">
        <v>0.11495330005203511</v>
      </c>
      <c r="E10" s="2">
        <v>0.31142380336268782</v>
      </c>
      <c r="F10" s="2">
        <v>0.22761912540778914</v>
      </c>
      <c r="G10" s="2">
        <v>0.5736842105263158</v>
      </c>
      <c r="J10" s="1" t="s">
        <v>31</v>
      </c>
      <c r="K10" s="3">
        <v>15</v>
      </c>
      <c r="L10" s="3">
        <v>3</v>
      </c>
      <c r="M10" s="3">
        <v>3</v>
      </c>
      <c r="N10" s="3">
        <v>12</v>
      </c>
      <c r="O10" s="3">
        <v>6</v>
      </c>
    </row>
    <row r="11" spans="2:15" x14ac:dyDescent="0.35">
      <c r="B11" s="1" t="s">
        <v>29</v>
      </c>
      <c r="C11" s="2">
        <v>0.24800646831163634</v>
      </c>
      <c r="D11" s="2">
        <v>0.15220074325303481</v>
      </c>
      <c r="E11" s="2">
        <v>0.41254770963372411</v>
      </c>
      <c r="F11" s="2">
        <v>0.32830683654177062</v>
      </c>
      <c r="G11" s="2">
        <v>0.88947368421052653</v>
      </c>
      <c r="J11" s="1" t="s">
        <v>29</v>
      </c>
      <c r="K11" s="3">
        <v>14</v>
      </c>
      <c r="L11" s="3">
        <v>6</v>
      </c>
      <c r="M11" s="3">
        <v>9</v>
      </c>
      <c r="N11" s="3">
        <v>8</v>
      </c>
      <c r="O11" s="3">
        <v>4</v>
      </c>
    </row>
    <row r="12" spans="2:15" x14ac:dyDescent="0.35">
      <c r="B12" s="1" t="s">
        <v>31</v>
      </c>
      <c r="C12" s="2">
        <v>0.21887058407333573</v>
      </c>
      <c r="D12" s="2">
        <v>0.19896721088629946</v>
      </c>
      <c r="E12" s="2">
        <v>0.70447878586749457</v>
      </c>
      <c r="F12" s="2">
        <v>0.29792064489951564</v>
      </c>
      <c r="G12" s="2">
        <v>0.76315789473684226</v>
      </c>
      <c r="J12" s="1" t="s">
        <v>35</v>
      </c>
      <c r="K12" s="3">
        <v>8</v>
      </c>
      <c r="L12" s="3">
        <v>11</v>
      </c>
      <c r="M12" s="3">
        <v>10</v>
      </c>
      <c r="N12" s="3">
        <v>5</v>
      </c>
      <c r="O12" s="3">
        <v>11</v>
      </c>
    </row>
    <row r="13" spans="2:15" x14ac:dyDescent="0.35">
      <c r="B13" s="1" t="s">
        <v>27</v>
      </c>
      <c r="C13" s="2">
        <v>0.39170583271269888</v>
      </c>
      <c r="D13" s="2">
        <v>0.13370727135763641</v>
      </c>
      <c r="E13" s="2">
        <v>0.76094616913973356</v>
      </c>
      <c r="F13" s="2">
        <v>0.34522527641316297</v>
      </c>
      <c r="G13" s="2">
        <v>0.98421052631578954</v>
      </c>
      <c r="J13" s="1" t="s">
        <v>34</v>
      </c>
      <c r="K13" s="3">
        <v>4</v>
      </c>
      <c r="L13" s="3">
        <v>12</v>
      </c>
      <c r="M13" s="3">
        <v>13</v>
      </c>
      <c r="N13" s="3">
        <v>13</v>
      </c>
      <c r="O13" s="3">
        <v>8</v>
      </c>
    </row>
    <row r="14" spans="2:15" x14ac:dyDescent="0.35">
      <c r="B14" s="1" t="s">
        <v>28</v>
      </c>
      <c r="C14" s="2">
        <v>0.65978001809642461</v>
      </c>
      <c r="D14" s="2">
        <v>0.1168718289230887</v>
      </c>
      <c r="E14" s="2">
        <v>0.28948636311588732</v>
      </c>
      <c r="F14" s="2">
        <v>0.47384772814866249</v>
      </c>
      <c r="G14" s="2">
        <v>1.1000000000000001</v>
      </c>
      <c r="J14" s="1" t="s">
        <v>33</v>
      </c>
      <c r="K14" s="3">
        <v>3</v>
      </c>
      <c r="L14" s="3">
        <v>16</v>
      </c>
      <c r="M14" s="3">
        <v>16</v>
      </c>
      <c r="N14" s="3">
        <v>14</v>
      </c>
      <c r="O14" s="3">
        <v>7</v>
      </c>
    </row>
    <row r="15" spans="2:15" x14ac:dyDescent="0.35">
      <c r="B15" s="1" t="s">
        <v>30</v>
      </c>
      <c r="C15" s="2">
        <v>0.91494455738638014</v>
      </c>
      <c r="D15" s="2">
        <v>1.1000000000000001</v>
      </c>
      <c r="E15" s="2">
        <v>0.44344072376530419</v>
      </c>
      <c r="F15" s="2">
        <v>0.30830526595929386</v>
      </c>
      <c r="G15" s="2">
        <v>0.1</v>
      </c>
      <c r="J15" s="1" t="s">
        <v>32</v>
      </c>
      <c r="K15" s="3">
        <v>10</v>
      </c>
      <c r="L15" s="3">
        <v>13</v>
      </c>
      <c r="M15" s="3">
        <v>11</v>
      </c>
      <c r="N15" s="3">
        <v>6</v>
      </c>
      <c r="O15" s="3">
        <v>10</v>
      </c>
    </row>
    <row r="16" spans="2:15" x14ac:dyDescent="0.35">
      <c r="B16" s="1" t="s">
        <v>26</v>
      </c>
      <c r="C16" s="2">
        <v>1.1000000000000001</v>
      </c>
      <c r="D16" s="2">
        <v>0.71199107426963226</v>
      </c>
      <c r="E16" s="2">
        <v>0.41827185365258979</v>
      </c>
      <c r="F16" s="2">
        <v>0.32444375866905606</v>
      </c>
      <c r="G16" s="2">
        <v>0.55263157894736836</v>
      </c>
      <c r="J16" s="1" t="s">
        <v>37</v>
      </c>
      <c r="K16" s="3">
        <v>9</v>
      </c>
      <c r="L16" s="3">
        <v>14</v>
      </c>
      <c r="M16" s="3">
        <v>12</v>
      </c>
      <c r="N16" s="3">
        <v>10</v>
      </c>
      <c r="O16" s="3">
        <v>15</v>
      </c>
    </row>
    <row r="17" spans="2:15" x14ac:dyDescent="0.35">
      <c r="B17" s="1" t="s">
        <v>24</v>
      </c>
      <c r="C17" s="2">
        <v>0.51749047015235528</v>
      </c>
      <c r="D17" s="2">
        <v>0.11585260695225788</v>
      </c>
      <c r="E17" s="2">
        <v>1.1000000000000001</v>
      </c>
      <c r="F17" s="2">
        <v>0.5256936456681498</v>
      </c>
      <c r="G17" s="2">
        <v>0.9</v>
      </c>
      <c r="J17" s="1" t="s">
        <v>39</v>
      </c>
      <c r="K17" s="3">
        <v>16</v>
      </c>
      <c r="L17" s="3">
        <v>5</v>
      </c>
      <c r="M17" s="3">
        <v>6</v>
      </c>
      <c r="N17" s="3">
        <v>4</v>
      </c>
      <c r="O17" s="3">
        <v>14</v>
      </c>
    </row>
    <row r="18" spans="2:15" x14ac:dyDescent="0.35">
      <c r="B18" s="1" t="s">
        <v>25</v>
      </c>
      <c r="C18" s="2">
        <v>0.4076596558741572</v>
      </c>
      <c r="D18" s="2">
        <v>0.18179497722330887</v>
      </c>
      <c r="E18" s="2">
        <v>0.6700416857904492</v>
      </c>
      <c r="F18" s="2">
        <v>1.1000000000000001</v>
      </c>
      <c r="G18" s="2">
        <v>0.80526315789473701</v>
      </c>
      <c r="J18" s="1" t="s">
        <v>38</v>
      </c>
      <c r="K18" s="3">
        <v>12</v>
      </c>
      <c r="L18" s="3">
        <v>15</v>
      </c>
      <c r="M18" s="3">
        <v>15</v>
      </c>
      <c r="N18" s="3">
        <v>15</v>
      </c>
      <c r="O18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10</vt:lpstr>
      <vt:lpstr>Table 11</vt:lpstr>
      <vt:lpstr>Figure 20</vt:lpstr>
      <vt:lpstr>Figure 21</vt:lpstr>
      <vt:lpstr>Figure 22</vt:lpstr>
      <vt:lpstr>Figure 23</vt:lpstr>
      <vt:lpstr>Figure 24</vt:lpstr>
      <vt:lpstr>Figure 25</vt:lpstr>
      <vt:lpstr>Figure 26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Nkrumah</dc:creator>
  <cp:lastModifiedBy>Clifford Hepplethwaite</cp:lastModifiedBy>
  <dcterms:created xsi:type="dcterms:W3CDTF">2025-04-17T15:35:41Z</dcterms:created>
  <dcterms:modified xsi:type="dcterms:W3CDTF">2025-12-04T06:46:25Z</dcterms:modified>
</cp:coreProperties>
</file>